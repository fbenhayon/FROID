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emissas" sheetId="1" state="visible" r:id="rId1"/>
    <sheet xmlns:r="http://schemas.openxmlformats.org/officeDocument/2006/relationships" name="2. Simulador de cliente" sheetId="2" state="visible" r:id="rId2"/>
    <sheet xmlns:r="http://schemas.openxmlformats.org/officeDocument/2006/relationships" name="3. Fluxo de caixa" sheetId="3" state="visible" r:id="rId3"/>
    <sheet xmlns:r="http://schemas.openxmlformats.org/officeDocument/2006/relationships" name="4. Cenários de preç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R$ #,##0"/>
  </numFmts>
  <fonts count="7">
    <font>
      <name val="Calibri"/>
      <family val="2"/>
      <color theme="1"/>
      <sz val="11"/>
      <scheme val="minor"/>
    </font>
    <font>
      <name val="Calibri"/>
      <b val="1"/>
      <color rgb="FF101620"/>
      <sz val="15"/>
    </font>
    <font>
      <name val="Calibri"/>
      <i val="1"/>
      <color rgb="FF64748B"/>
      <sz val="9"/>
    </font>
    <font>
      <name val="Calibri"/>
      <b val="1"/>
      <color rgb="FFFFFFFF"/>
      <sz val="11"/>
    </font>
    <font>
      <name val="Calibri"/>
      <color rgb="FF101620"/>
      <sz val="10"/>
    </font>
    <font>
      <name val="Calibri"/>
      <b val="1"/>
      <color rgb="FF101620"/>
      <sz val="10"/>
    </font>
    <font>
      <name val="Calibri"/>
      <b val="1"/>
      <color rgb="FF0B3D91"/>
      <sz val="11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4" fillId="3" borderId="1" pivotButton="0" quotePrefix="0" xfId="0"/>
    <xf numFmtId="3" fontId="4" fillId="3" borderId="1" pivotButton="0" quotePrefix="0" xfId="0"/>
    <xf numFmtId="165" fontId="4" fillId="3" borderId="1" pivotButton="0" quotePrefix="0" xfId="0"/>
    <xf numFmtId="0" fontId="5" fillId="0" borderId="0" pivotButton="0" quotePrefix="0" xfId="0"/>
    <xf numFmtId="164" fontId="6" fillId="4" borderId="1" pivotButton="0" quotePrefix="0" xfId="0"/>
    <xf numFmtId="164" fontId="4" fillId="4" borderId="1" pivotButton="0" quotePrefix="0" xfId="0"/>
    <xf numFmtId="166" fontId="4" fillId="4" borderId="1" pivotButton="0" quotePrefix="0" xfId="0"/>
    <xf numFmtId="165" fontId="4" fillId="4" borderId="1" pivotButton="0" quotePrefix="0" xfId="0"/>
    <xf numFmtId="165" fontId="6" fillId="4" borderId="1" pivotButton="0" quotePrefix="0" xfId="0"/>
    <xf numFmtId="164" fontId="0" fillId="0" borderId="1" pivotButton="0" quotePrefix="0" xfId="0"/>
    <xf numFmtId="164" fontId="0" fillId="4" borderId="1" pivotButton="0" quotePrefix="0" xfId="0"/>
    <xf numFmtId="166" fontId="0" fillId="4" borderId="1" pivotButton="0" quotePrefix="0" xfId="0"/>
    <xf numFmtId="165" fontId="0" fillId="4" borderId="1" pivotButton="0" quotePrefix="0" xfId="0"/>
    <xf numFmtId="0" fontId="3" fillId="2" borderId="0" applyAlignment="1" pivotButton="0" quotePrefix="0" xfId="0">
      <alignment horizontal="center"/>
    </xf>
    <xf numFmtId="3" fontId="0" fillId="4" borderId="1" pivotButton="0" quotePrefix="0" xfId="0"/>
    <xf numFmtId="3" fontId="6" fillId="4" borderId="1" pivotButton="0" quotePrefix="0" xfId="0"/>
    <xf numFmtId="0" fontId="3" fillId="2" borderId="0" applyAlignment="1" pivotButton="0" quotePrefix="0" xfId="0">
      <alignment vertical="center" wrapText="1"/>
    </xf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72" customWidth="1" min="3" max="3"/>
  </cols>
  <sheetData>
    <row r="1">
      <c r="A1" s="1" t="inlineStr">
        <is>
          <t>FROID Psicossocial — premissas do modelo</t>
        </is>
      </c>
    </row>
    <row r="2">
      <c r="A2" s="2" t="inlineStr">
        <is>
          <t>Amarelo é entrada: mude à vontade. Azul é fórmula, não edite.</t>
        </is>
      </c>
    </row>
    <row r="4">
      <c r="A4" s="3" t="inlineStr">
        <is>
          <t>PREÇO DE TABELA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Base da plataforma, por estabelecimento/mês</t>
        </is>
      </c>
      <c r="B5" s="6" t="n">
        <v>1200</v>
      </c>
    </row>
    <row r="6">
      <c r="A6" s="5" t="inlineStr">
        <is>
          <t>Faixa 1 — de 1 a 100 trabalhadores (por trab./mês)</t>
        </is>
      </c>
      <c r="B6" s="6" t="n">
        <v>9</v>
      </c>
    </row>
    <row r="7">
      <c r="A7" s="5" t="inlineStr">
        <is>
          <t>Faixa 2 — de 101 a 300</t>
        </is>
      </c>
      <c r="B7" s="6" t="n">
        <v>7</v>
      </c>
    </row>
    <row r="8">
      <c r="A8" s="5" t="inlineStr">
        <is>
          <t>Faixa 3 — de 301 a 1.000</t>
        </is>
      </c>
      <c r="B8" s="6" t="n">
        <v>5</v>
      </c>
    </row>
    <row r="9">
      <c r="A9" s="5" t="inlineStr">
        <is>
          <t>Faixa 4 — acima de 1.000</t>
        </is>
      </c>
      <c r="B9" s="6" t="n">
        <v>3</v>
      </c>
    </row>
    <row r="10">
      <c r="A10" s="5" t="inlineStr">
        <is>
          <t>Limite da faixa 1 (trabalhadores)</t>
        </is>
      </c>
      <c r="B10" s="7" t="n">
        <v>100</v>
      </c>
    </row>
    <row r="11">
      <c r="A11" s="5" t="inlineStr">
        <is>
          <t>Limite da faixa 2</t>
        </is>
      </c>
      <c r="B11" s="7" t="n">
        <v>300</v>
      </c>
    </row>
    <row r="12">
      <c r="A12" s="5" t="inlineStr">
        <is>
          <t>Limite da faixa 3</t>
        </is>
      </c>
      <c r="B12" s="7" t="n">
        <v>1000</v>
      </c>
    </row>
    <row r="14">
      <c r="A14" s="3" t="inlineStr">
        <is>
          <t>DESCONTOS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5" t="inlineStr">
        <is>
          <t>Pioneiro (até 31/12/2026)</t>
        </is>
      </c>
      <c r="B15" s="8" t="n">
        <v>0.15</v>
      </c>
    </row>
    <row r="16">
      <c r="A16" s="5" t="inlineStr">
        <is>
          <t>Anual: meses pagos em 12</t>
        </is>
      </c>
      <c r="B16" s="7" t="n">
        <v>10</v>
      </c>
      <c r="C16" s="2" t="inlineStr">
        <is>
          <t>12 meses pagos como 10 = 16,7% de desconto</t>
        </is>
      </c>
    </row>
    <row r="17">
      <c r="A17" s="5" t="inlineStr">
        <is>
          <t>Canal — faixa média praticada</t>
        </is>
      </c>
      <c r="B17" s="8" t="n">
        <v>0.3</v>
      </c>
      <c r="C17" s="2" t="inlineStr">
        <is>
          <t>20% até 9 clientes · 30% de 10 a 29 · 40% acima de 30</t>
        </is>
      </c>
    </row>
    <row r="19">
      <c r="A19" s="3" t="inlineStr">
        <is>
          <t>CUSTO FIXO MENSAL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5" t="inlineStr">
        <is>
          <t>Infraestrutura (servidor, backup, domínio)</t>
        </is>
      </c>
      <c r="B20" s="6" t="n">
        <v>400</v>
      </c>
      <c r="C20" s="2" t="inlineStr">
        <is>
          <t>ESTIMATIVA — confirmar com a fatura do Hetzner</t>
        </is>
      </c>
    </row>
    <row r="21">
      <c r="A21" s="5" t="inlineStr">
        <is>
          <t>Ferramentas e licenças</t>
        </is>
      </c>
      <c r="B21" s="6" t="n">
        <v>300</v>
      </c>
      <c r="C21" s="2" t="inlineStr">
        <is>
          <t>ESTIMATIVA — e-mail, repositório, monitoramento</t>
        </is>
      </c>
    </row>
    <row r="22">
      <c r="A22" s="5" t="inlineStr">
        <is>
          <t>Contabilidade e jurídico</t>
        </is>
      </c>
      <c r="B22" s="6" t="n">
        <v>1500</v>
      </c>
      <c r="C22" s="2" t="inlineStr">
        <is>
          <t>ESTIMATIVA — confirmar</t>
        </is>
      </c>
    </row>
    <row r="23">
      <c r="A23" s="5" t="inlineStr">
        <is>
          <t>Pró-labore e equipe</t>
        </is>
      </c>
      <c r="B23" s="6" t="n">
        <v>0</v>
      </c>
      <c r="C23" s="2" t="inlineStr">
        <is>
          <t>PREENCHER — deixei zero de propósito; é o maior custo de quase todo SaaS</t>
        </is>
      </c>
    </row>
    <row r="24">
      <c r="A24" s="5" t="inlineStr">
        <is>
          <t>Outros fixos</t>
        </is>
      </c>
      <c r="B24" s="6" t="n">
        <v>0</v>
      </c>
    </row>
    <row r="25">
      <c r="A25" s="9" t="inlineStr">
        <is>
          <t>Total de custo fixo mensal</t>
        </is>
      </c>
      <c r="B25" s="10">
        <f>SUM(B20:B24)</f>
        <v/>
      </c>
    </row>
    <row r="27">
      <c r="A27" s="3" t="inlineStr">
        <is>
          <t>CUSTO VARIÁVEL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5" t="inlineStr">
        <is>
          <t>Por cliente ativo/mês (suporte, armazenamento)</t>
        </is>
      </c>
      <c r="B28" s="6" t="n">
        <v>40</v>
      </c>
      <c r="C28" s="2" t="inlineStr">
        <is>
          <t>ESTIMATIVA</t>
        </is>
      </c>
    </row>
    <row r="29">
      <c r="A29" s="5" t="inlineStr">
        <is>
          <t>Por trabalhador/mês (consulta ao acervo, e-mail)</t>
        </is>
      </c>
      <c r="B29" s="6" t="n">
        <v>0.25</v>
      </c>
      <c r="C29" s="2" t="inlineStr">
        <is>
          <t>ESTIMATIVA — o Explica consome API por consulta</t>
        </is>
      </c>
    </row>
    <row r="31">
      <c r="A31" s="3" t="inlineStr">
        <is>
          <t>IMPOSTOS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5" t="inlineStr">
        <is>
          <t>Alíquota efetiva sobre a receita</t>
        </is>
      </c>
      <c r="B32" s="8" t="n">
        <v>0.16</v>
      </c>
      <c r="C32" s="2" t="inlineStr">
        <is>
          <t>ESTIMATIVA — Simples Nacional anexo III começa em 6% e sobe com o faturamento. CONFIRMAR com a contabilidade</t>
        </is>
      </c>
    </row>
    <row r="34">
      <c r="A34" s="3" t="inlineStr">
        <is>
          <t>COMERCIAL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5" t="inlineStr">
        <is>
          <t>Novos clientes por mês</t>
        </is>
      </c>
      <c r="B35" s="7" t="n">
        <v>2</v>
      </c>
    </row>
    <row r="36">
      <c r="A36" s="5" t="inlineStr">
        <is>
          <t>Cancelamento mensal (churn)</t>
        </is>
      </c>
      <c r="B36" s="8" t="n">
        <v>0.02</v>
      </c>
      <c r="C36" s="2" t="inlineStr">
        <is>
          <t>2% ao mês ≈ 22% ao ano</t>
        </is>
      </c>
    </row>
    <row r="37">
      <c r="A37" s="5" t="inlineStr">
        <is>
          <t>Clientes já ativos hoje</t>
        </is>
      </c>
      <c r="B37" s="7" t="n">
        <v>0</v>
      </c>
    </row>
    <row r="38">
      <c r="A38" s="5" t="inlineStr">
        <is>
          <t>Trabalhadores por cliente (média)</t>
        </is>
      </c>
      <c r="B38" s="7" t="n">
        <v>250</v>
      </c>
    </row>
    <row r="39">
      <c r="A39" s="5" t="inlineStr">
        <is>
          <t>Estabelecimentos por cliente (média)</t>
        </is>
      </c>
      <c r="B39" s="7" t="n">
        <v>3</v>
      </c>
    </row>
    <row r="40">
      <c r="A40" s="5" t="inlineStr">
        <is>
          <t>Fração vinda por canal (com desconto)</t>
        </is>
      </c>
      <c r="B40" s="8" t="n">
        <v>0.5</v>
      </c>
    </row>
    <row r="42">
      <c r="A42" s="9" t="inlineStr">
        <is>
          <t>O QUE SÓ VOCÊ SABE — as células marcadas ESTIMATIVA acima</t>
        </is>
      </c>
    </row>
    <row r="43">
      <c r="A43" s="2" t="inlineStr">
        <is>
          <t>1. A fatura real do servidor e das ferramentas.</t>
        </is>
      </c>
    </row>
    <row r="44">
      <c r="A44" s="2" t="inlineStr">
        <is>
          <t>2. O pró-labore que você precisa retirar. Está zerado, e por isso o resultado abaixo é otimista.</t>
        </is>
      </c>
    </row>
    <row r="45">
      <c r="A45" s="2" t="inlineStr">
        <is>
          <t>3. O regime tributário. Simples Nacional anexo III começa em 6% e sobe por faixa de faturamento;</t>
        </is>
      </c>
    </row>
    <row r="46">
      <c r="A46" s="2" t="inlineStr">
        <is>
          <t xml:space="preserve">   Lucro Presumido para serviço fica perto de 13,33% de PIS/COFINS/ISS mais IRPJ e CSLL.</t>
        </is>
      </c>
    </row>
    <row r="47">
      <c r="A47" s="2" t="inlineStr">
        <is>
          <t>4. O custo de aquisição: se houver comissão, tráfego pago ou vendedor, entra em fixo ou variável.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6" customWidth="1" min="3" max="3"/>
  </cols>
  <sheetData>
    <row r="1">
      <c r="A1" s="1" t="inlineStr">
        <is>
          <t>Quanto custa e quanto sobra em UM cliente</t>
        </is>
      </c>
    </row>
    <row r="2">
      <c r="A2" s="2" t="inlineStr">
        <is>
          <t>Mude trabalhadores e estabelecimentos e veja o efeito na margem.</t>
        </is>
      </c>
    </row>
    <row r="4">
      <c r="A4" s="3" t="inlineStr">
        <is>
          <t>O CLIENTE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Trabalhadores</t>
        </is>
      </c>
      <c r="B5" s="7" t="n">
        <v>263</v>
      </c>
    </row>
    <row r="6">
      <c r="A6" s="5" t="inlineStr">
        <is>
          <t>Estabelecimentos</t>
        </is>
      </c>
      <c r="B6" s="7" t="n">
        <v>11</v>
      </c>
    </row>
    <row r="7">
      <c r="A7" s="5" t="inlineStr">
        <is>
          <t>Desconto aplicado</t>
        </is>
      </c>
      <c r="B7" s="8" t="n">
        <v>0</v>
      </c>
      <c r="C7" s="2" t="inlineStr">
        <is>
          <t>0 = tabela cheia · 0,15 = pioneiro · 0,30 = canal</t>
        </is>
      </c>
    </row>
    <row r="9">
      <c r="A9" s="3" t="inlineStr">
        <is>
          <t>RECEITA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5" t="inlineStr">
        <is>
          <t>Base da plataforma</t>
        </is>
      </c>
      <c r="B10" s="11">
        <f>B6*'1. Premissas'!B5</f>
        <v/>
      </c>
      <c r="C10" s="2" t="inlineStr">
        <is>
          <t>É aqui que mora o peso: base × número de endereços</t>
        </is>
      </c>
    </row>
    <row r="11">
      <c r="A11" s="5" t="inlineStr">
        <is>
          <t>Escala por trabalhador</t>
        </is>
      </c>
      <c r="B11" s="11">
        <f>MIN(B5,'1. Premissas'!B10)*'1. Premissas'!B6+MAX(0,MIN(B5,'1. Premissas'!B11)-'1. Premissas'!B10)*'1. Premissas'!B7+MAX(0,MIN(B5,'1. Premissas'!B12)-'1. Premissas'!B11)*'1. Premissas'!B8+MAX(0,B5-'1. Premissas'!B12)*'1. Premissas'!B9</f>
        <v/>
      </c>
      <c r="C11" s="2" t="inlineStr">
        <is>
          <t>Faixas cumulativas</t>
        </is>
      </c>
    </row>
    <row r="12">
      <c r="A12" s="5" t="inlineStr">
        <is>
          <t>Mensal de tabela</t>
        </is>
      </c>
      <c r="B12" s="11">
        <f>B10+B11</f>
        <v/>
      </c>
    </row>
    <row r="13">
      <c r="A13" s="9" t="inlineStr">
        <is>
          <t>Mensal com desconto</t>
        </is>
      </c>
      <c r="B13" s="10">
        <f>B12*(1-B7)</f>
        <v/>
      </c>
    </row>
    <row r="14">
      <c r="A14" s="5" t="inlineStr">
        <is>
          <t>Anual</t>
        </is>
      </c>
      <c r="B14" s="12">
        <f>B13*12</f>
        <v/>
      </c>
    </row>
    <row r="15">
      <c r="A15" s="5" t="inlineStr">
        <is>
          <t>Peso da base no total</t>
        </is>
      </c>
      <c r="B15" s="13">
        <f>B10/B12</f>
        <v/>
      </c>
      <c r="C15" s="2" t="inlineStr">
        <is>
          <t>Acima de 70% significa que você cobra por endereço, não por trabalhador</t>
        </is>
      </c>
    </row>
    <row r="17">
      <c r="A17" s="3" t="inlineStr">
        <is>
          <t>CUSTO DE SERVIR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5" t="inlineStr">
        <is>
          <t>Variável por cliente</t>
        </is>
      </c>
      <c r="B18" s="11">
        <f>'1. Premissas'!B28</f>
        <v/>
      </c>
    </row>
    <row r="19">
      <c r="A19" s="5" t="inlineStr">
        <is>
          <t>Variável por trabalhador</t>
        </is>
      </c>
      <c r="B19" s="11">
        <f>B5*'1. Premissas'!B29</f>
        <v/>
      </c>
    </row>
    <row r="20">
      <c r="A20" s="5" t="inlineStr">
        <is>
          <t>Impostos</t>
        </is>
      </c>
      <c r="B20" s="11">
        <f>B13*'1. Premissas'!B32</f>
        <v/>
      </c>
    </row>
    <row r="21">
      <c r="A21" s="5" t="inlineStr">
        <is>
          <t>Custo variável total</t>
        </is>
      </c>
      <c r="B21" s="11">
        <f>B18+B19+B20</f>
        <v/>
      </c>
    </row>
    <row r="23">
      <c r="A23" s="3" t="inlineStr">
        <is>
          <t>RESULTADO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9" t="inlineStr">
        <is>
          <t>Margem de contribuição (R$/mês)</t>
        </is>
      </c>
      <c r="B24" s="10">
        <f>B13-B21</f>
        <v/>
      </c>
    </row>
    <row r="25">
      <c r="A25" s="9" t="inlineStr">
        <is>
          <t>Margem de contribuição (%)</t>
        </is>
      </c>
      <c r="B25" s="14">
        <f>B24/B13</f>
        <v/>
      </c>
    </row>
    <row r="26">
      <c r="A26" s="5" t="inlineStr">
        <is>
          <t>Receita por trabalhador/mês</t>
        </is>
      </c>
      <c r="B26" s="11">
        <f>B13/B5</f>
        <v/>
      </c>
      <c r="C26" s="2" t="inlineStr">
        <is>
          <t>Número que o cliente calcula sozinho e usa para comparar</t>
        </is>
      </c>
    </row>
    <row r="27">
      <c r="A27" s="5" t="inlineStr">
        <is>
          <t>Receita por trabalhador/ano</t>
        </is>
      </c>
      <c r="B27" s="11">
        <f>B13*12/B5</f>
        <v/>
      </c>
    </row>
    <row r="30">
      <c r="A30" s="9" t="inlineStr">
        <is>
          <t>SENSIBILIDADE — o mesmo cliente com bases diferentes</t>
        </is>
      </c>
    </row>
    <row r="31">
      <c r="A31" s="3" t="inlineStr">
        <is>
          <t>Base por estabelecimento</t>
        </is>
      </c>
      <c r="B31" s="3" t="inlineStr">
        <is>
          <t>Mensal</t>
        </is>
      </c>
      <c r="C31" s="3" t="inlineStr">
        <is>
          <t>Anual</t>
        </is>
      </c>
      <c r="D31" s="3" t="inlineStr">
        <is>
          <t>Por trab./mês</t>
        </is>
      </c>
      <c r="E31" s="3" t="inlineStr">
        <is>
          <t>Margem R$</t>
        </is>
      </c>
      <c r="F31" s="3" t="inlineStr">
        <is>
          <t>Margem %</t>
        </is>
      </c>
    </row>
    <row r="32">
      <c r="A32" s="15" t="n">
        <v>1200</v>
      </c>
      <c r="B32" s="16">
        <f>(1200*B6+B11)*(1-B7)</f>
        <v/>
      </c>
      <c r="C32" s="17">
        <f>B32*12</f>
        <v/>
      </c>
      <c r="D32" s="16">
        <f>B32/B5</f>
        <v/>
      </c>
      <c r="E32" s="16">
        <f>B32-(B18+B19+B32*'1. Premissas'!B32)</f>
        <v/>
      </c>
      <c r="F32" s="18">
        <f>E32/B32</f>
        <v/>
      </c>
    </row>
    <row r="33">
      <c r="A33" s="15" t="n">
        <v>1000</v>
      </c>
      <c r="B33" s="16">
        <f>(1000*B6+B11)*(1-B7)</f>
        <v/>
      </c>
      <c r="C33" s="17">
        <f>B33*12</f>
        <v/>
      </c>
      <c r="D33" s="16">
        <f>B33/B5</f>
        <v/>
      </c>
      <c r="E33" s="16">
        <f>B33-(B18+B19+B33*'1. Premissas'!B32)</f>
        <v/>
      </c>
      <c r="F33" s="18">
        <f>E33/B33</f>
        <v/>
      </c>
    </row>
    <row r="34">
      <c r="A34" s="15" t="n">
        <v>900</v>
      </c>
      <c r="B34" s="16">
        <f>(900*B6+B11)*(1-B7)</f>
        <v/>
      </c>
      <c r="C34" s="17">
        <f>B34*12</f>
        <v/>
      </c>
      <c r="D34" s="16">
        <f>B34/B5</f>
        <v/>
      </c>
      <c r="E34" s="16">
        <f>B34-(B18+B19+B34*'1. Premissas'!B32)</f>
        <v/>
      </c>
      <c r="F34" s="18">
        <f>E34/B34</f>
        <v/>
      </c>
    </row>
    <row r="35">
      <c r="A35" s="15" t="n">
        <v>800</v>
      </c>
      <c r="B35" s="16">
        <f>(800*B6+B11)*(1-B7)</f>
        <v/>
      </c>
      <c r="C35" s="17">
        <f>B35*12</f>
        <v/>
      </c>
      <c r="D35" s="16">
        <f>B35/B5</f>
        <v/>
      </c>
      <c r="E35" s="16">
        <f>B35-(B18+B19+B35*'1. Premissas'!B32)</f>
        <v/>
      </c>
      <c r="F35" s="18">
        <f>E35/B35</f>
        <v/>
      </c>
    </row>
    <row r="36">
      <c r="A36" s="15" t="n">
        <v>700</v>
      </c>
      <c r="B36" s="16">
        <f>(700*B6+B11)*(1-B7)</f>
        <v/>
      </c>
      <c r="C36" s="17">
        <f>B36*12</f>
        <v/>
      </c>
      <c r="D36" s="16">
        <f>B36/B5</f>
        <v/>
      </c>
      <c r="E36" s="16">
        <f>B36-(B18+B19+B36*'1. Premissas'!B32)</f>
        <v/>
      </c>
      <c r="F36" s="18">
        <f>E36/B36</f>
        <v/>
      </c>
    </row>
    <row r="37">
      <c r="A37" s="15" t="n">
        <v>600</v>
      </c>
      <c r="B37" s="16">
        <f>(600*B6+B11)*(1-B7)</f>
        <v/>
      </c>
      <c r="C37" s="17">
        <f>B37*12</f>
        <v/>
      </c>
      <c r="D37" s="16">
        <f>B37/B5</f>
        <v/>
      </c>
      <c r="E37" s="16">
        <f>B37-(B18+B19+B37*'1. Premissas'!B32)</f>
        <v/>
      </c>
      <c r="F37" s="18">
        <f>E37/B37</f>
        <v/>
      </c>
    </row>
    <row r="38">
      <c r="A38" s="15" t="n">
        <v>500</v>
      </c>
      <c r="B38" s="16">
        <f>(500*B6+B11)*(1-B7)</f>
        <v/>
      </c>
      <c r="C38" s="17">
        <f>B38*12</f>
        <v/>
      </c>
      <c r="D38" s="16">
        <f>B38/B5</f>
        <v/>
      </c>
      <c r="E38" s="16">
        <f>B38-(B18+B19+B38*'1. Premissas'!B32)</f>
        <v/>
      </c>
      <c r="F38" s="18">
        <f>E38/B38</f>
        <v/>
      </c>
    </row>
    <row r="39">
      <c r="A39" s="15" t="n">
        <v>400</v>
      </c>
      <c r="B39" s="16">
        <f>(400*B6+B11)*(1-B7)</f>
        <v/>
      </c>
      <c r="C39" s="17">
        <f>B39*12</f>
        <v/>
      </c>
      <c r="D39" s="16">
        <f>B39/B5</f>
        <v/>
      </c>
      <c r="E39" s="16">
        <f>B39-(B18+B19+B39*'1. Premissas'!B32)</f>
        <v/>
      </c>
      <c r="F39" s="18">
        <f>E39/B39</f>
        <v/>
      </c>
    </row>
    <row r="41">
      <c r="A41" s="2" t="inlineStr">
        <is>
          <t>A base por estabelecimento é a alavanca de preço mais forte que você tem —</t>
        </is>
      </c>
    </row>
    <row r="42">
      <c r="A42" s="2" t="inlineStr">
        <is>
          <t>e a que mais assusta rede com muitos endereços. Veja a coluna 'Por trab./mês'.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Fluxo de caixa — 24 meses</t>
        </is>
      </c>
    </row>
    <row r="2">
      <c r="A2" s="2" t="inlineStr">
        <is>
          <t>Movido pelas premissas da aba 1. Cliente médio da aba 1, não o da aba 2.</t>
        </is>
      </c>
    </row>
    <row r="4">
      <c r="A4" s="3" t="inlineStr">
        <is>
          <t>Mês</t>
        </is>
      </c>
      <c r="B4" s="19" t="n">
        <v>1</v>
      </c>
      <c r="C4" s="19" t="n">
        <v>2</v>
      </c>
      <c r="D4" s="19" t="n">
        <v>3</v>
      </c>
      <c r="E4" s="19" t="n">
        <v>4</v>
      </c>
      <c r="F4" s="19" t="n">
        <v>5</v>
      </c>
      <c r="G4" s="19" t="n">
        <v>6</v>
      </c>
      <c r="H4" s="19" t="n">
        <v>7</v>
      </c>
      <c r="I4" s="19" t="n">
        <v>8</v>
      </c>
      <c r="J4" s="19" t="n">
        <v>9</v>
      </c>
      <c r="K4" s="19" t="n">
        <v>10</v>
      </c>
      <c r="L4" s="19" t="n">
        <v>11</v>
      </c>
      <c r="M4" s="19" t="n">
        <v>12</v>
      </c>
      <c r="N4" s="19" t="n">
        <v>13</v>
      </c>
      <c r="O4" s="19" t="n">
        <v>14</v>
      </c>
      <c r="P4" s="19" t="n">
        <v>15</v>
      </c>
      <c r="Q4" s="19" t="n">
        <v>16</v>
      </c>
      <c r="R4" s="19" t="n">
        <v>17</v>
      </c>
      <c r="S4" s="19" t="n">
        <v>18</v>
      </c>
      <c r="T4" s="19" t="n">
        <v>19</v>
      </c>
      <c r="U4" s="19" t="n">
        <v>20</v>
      </c>
      <c r="V4" s="19" t="n">
        <v>21</v>
      </c>
      <c r="W4" s="19" t="n">
        <v>22</v>
      </c>
      <c r="X4" s="19" t="n">
        <v>23</v>
      </c>
      <c r="Y4" s="19" t="n">
        <v>24</v>
      </c>
    </row>
    <row r="5">
      <c r="A5" s="5" t="inlineStr">
        <is>
          <t>Clientes ativos</t>
        </is>
      </c>
      <c r="B5" s="20">
        <f>'1. Premissas'!B37+'1. Premissas'!B35</f>
        <v/>
      </c>
      <c r="C5" s="20">
        <f>B5*(1-'1. Premissas'!B36)+'1. Premissas'!B35</f>
        <v/>
      </c>
      <c r="D5" s="20">
        <f>C5*(1-'1. Premissas'!B36)+'1. Premissas'!B35</f>
        <v/>
      </c>
      <c r="E5" s="20">
        <f>D5*(1-'1. Premissas'!B36)+'1. Premissas'!B35</f>
        <v/>
      </c>
      <c r="F5" s="20">
        <f>E5*(1-'1. Premissas'!B36)+'1. Premissas'!B35</f>
        <v/>
      </c>
      <c r="G5" s="20">
        <f>F5*(1-'1. Premissas'!B36)+'1. Premissas'!B35</f>
        <v/>
      </c>
      <c r="H5" s="20">
        <f>G5*(1-'1. Premissas'!B36)+'1. Premissas'!B35</f>
        <v/>
      </c>
      <c r="I5" s="20">
        <f>H5*(1-'1. Premissas'!B36)+'1. Premissas'!B35</f>
        <v/>
      </c>
      <c r="J5" s="20">
        <f>I5*(1-'1. Premissas'!B36)+'1. Premissas'!B35</f>
        <v/>
      </c>
      <c r="K5" s="20">
        <f>J5*(1-'1. Premissas'!B36)+'1. Premissas'!B35</f>
        <v/>
      </c>
      <c r="L5" s="20">
        <f>K5*(1-'1. Premissas'!B36)+'1. Premissas'!B35</f>
        <v/>
      </c>
      <c r="M5" s="20">
        <f>L5*(1-'1. Premissas'!B36)+'1. Premissas'!B35</f>
        <v/>
      </c>
      <c r="N5" s="20">
        <f>M5*(1-'1. Premissas'!B36)+'1. Premissas'!B35</f>
        <v/>
      </c>
      <c r="O5" s="20">
        <f>N5*(1-'1. Premissas'!B36)+'1. Premissas'!B35</f>
        <v/>
      </c>
      <c r="P5" s="20">
        <f>O5*(1-'1. Premissas'!B36)+'1. Premissas'!B35</f>
        <v/>
      </c>
      <c r="Q5" s="20">
        <f>P5*(1-'1. Premissas'!B36)+'1. Premissas'!B35</f>
        <v/>
      </c>
      <c r="R5" s="20">
        <f>Q5*(1-'1. Premissas'!B36)+'1. Premissas'!B35</f>
        <v/>
      </c>
      <c r="S5" s="20">
        <f>R5*(1-'1. Premissas'!B36)+'1. Premissas'!B35</f>
        <v/>
      </c>
      <c r="T5" s="20">
        <f>S5*(1-'1. Premissas'!B36)+'1. Premissas'!B35</f>
        <v/>
      </c>
      <c r="U5" s="20">
        <f>T5*(1-'1. Premissas'!B36)+'1. Premissas'!B35</f>
        <v/>
      </c>
      <c r="V5" s="20">
        <f>U5*(1-'1. Premissas'!B36)+'1. Premissas'!B35</f>
        <v/>
      </c>
      <c r="W5" s="20">
        <f>V5*(1-'1. Premissas'!B36)+'1. Premissas'!B35</f>
        <v/>
      </c>
      <c r="X5" s="20">
        <f>W5*(1-'1. Premissas'!B36)+'1. Premissas'!B35</f>
        <v/>
      </c>
      <c r="Y5" s="20">
        <f>X5*(1-'1. Premissas'!B36)+'1. Premissas'!B35</f>
        <v/>
      </c>
    </row>
    <row r="6">
      <c r="A6" s="5" t="inlineStr">
        <is>
          <t>Trabalhadores na base</t>
        </is>
      </c>
      <c r="B6" s="20">
        <f>B5*'1. Premissas'!B38</f>
        <v/>
      </c>
      <c r="C6" s="20">
        <f>C5*'1. Premissas'!B38</f>
        <v/>
      </c>
      <c r="D6" s="20">
        <f>D5*'1. Premissas'!B38</f>
        <v/>
      </c>
      <c r="E6" s="20">
        <f>E5*'1. Premissas'!B38</f>
        <v/>
      </c>
      <c r="F6" s="20">
        <f>F5*'1. Premissas'!B38</f>
        <v/>
      </c>
      <c r="G6" s="20">
        <f>G5*'1. Premissas'!B38</f>
        <v/>
      </c>
      <c r="H6" s="20">
        <f>H5*'1. Premissas'!B38</f>
        <v/>
      </c>
      <c r="I6" s="20">
        <f>I5*'1. Premissas'!B38</f>
        <v/>
      </c>
      <c r="J6" s="20">
        <f>J5*'1. Premissas'!B38</f>
        <v/>
      </c>
      <c r="K6" s="20">
        <f>K5*'1. Premissas'!B38</f>
        <v/>
      </c>
      <c r="L6" s="20">
        <f>L5*'1. Premissas'!B38</f>
        <v/>
      </c>
      <c r="M6" s="20">
        <f>M5*'1. Premissas'!B38</f>
        <v/>
      </c>
      <c r="N6" s="20">
        <f>N5*'1. Premissas'!B38</f>
        <v/>
      </c>
      <c r="O6" s="20">
        <f>O5*'1. Premissas'!B38</f>
        <v/>
      </c>
      <c r="P6" s="20">
        <f>P5*'1. Premissas'!B38</f>
        <v/>
      </c>
      <c r="Q6" s="20">
        <f>Q5*'1. Premissas'!B38</f>
        <v/>
      </c>
      <c r="R6" s="20">
        <f>R5*'1. Premissas'!B38</f>
        <v/>
      </c>
      <c r="S6" s="20">
        <f>S5*'1. Premissas'!B38</f>
        <v/>
      </c>
      <c r="T6" s="20">
        <f>T5*'1. Premissas'!B38</f>
        <v/>
      </c>
      <c r="U6" s="20">
        <f>U5*'1. Premissas'!B38</f>
        <v/>
      </c>
      <c r="V6" s="20">
        <f>V5*'1. Premissas'!B38</f>
        <v/>
      </c>
      <c r="W6" s="20">
        <f>W5*'1. Premissas'!B38</f>
        <v/>
      </c>
      <c r="X6" s="20">
        <f>X5*'1. Premissas'!B38</f>
        <v/>
      </c>
      <c r="Y6" s="20">
        <f>Y5*'1. Premissas'!B38</f>
        <v/>
      </c>
    </row>
    <row r="7">
      <c r="A7" s="5" t="inlineStr">
        <is>
          <t>Receita bruta</t>
        </is>
      </c>
      <c r="B7" s="17">
        <f>B5*('1.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C7" s="17">
        <f>C5*('1.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D7" s="17">
        <f>D5*('1.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E7" s="17">
        <f>E5*('1.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F7" s="17">
        <f>F5*('1.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G7" s="17">
        <f>G5*('1.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H7" s="17">
        <f>H5*('1.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I7" s="17">
        <f>I5*('1.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J7" s="17">
        <f>J5*('1.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K7" s="17">
        <f>K5*('1.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L7" s="17">
        <f>L5*('1.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M7" s="17">
        <f>M5*('1.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N7" s="17">
        <f>N5*('1.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O7" s="17">
        <f>O5*('1.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P7" s="17">
        <f>P5*('1.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Q7" s="17">
        <f>Q5*('1.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R7" s="17">
        <f>R5*('1.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S7" s="17">
        <f>S5*('1.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T7" s="17">
        <f>T5*('1.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U7" s="17">
        <f>U5*('1.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V7" s="17">
        <f>V5*('1.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W7" s="17">
        <f>W5*('1.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X7" s="17">
        <f>X5*('1.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Y7" s="17">
        <f>Y5*('1.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</row>
    <row r="8">
      <c r="A8" s="5" t="inlineStr">
        <is>
          <t>Impostos</t>
        </is>
      </c>
      <c r="B8" s="17">
        <f>B7*'1. Premissas'!B32</f>
        <v/>
      </c>
      <c r="C8" s="17">
        <f>C7*'1. Premissas'!B32</f>
        <v/>
      </c>
      <c r="D8" s="17">
        <f>D7*'1. Premissas'!B32</f>
        <v/>
      </c>
      <c r="E8" s="17">
        <f>E7*'1. Premissas'!B32</f>
        <v/>
      </c>
      <c r="F8" s="17">
        <f>F7*'1. Premissas'!B32</f>
        <v/>
      </c>
      <c r="G8" s="17">
        <f>G7*'1. Premissas'!B32</f>
        <v/>
      </c>
      <c r="H8" s="17">
        <f>H7*'1. Premissas'!B32</f>
        <v/>
      </c>
      <c r="I8" s="17">
        <f>I7*'1. Premissas'!B32</f>
        <v/>
      </c>
      <c r="J8" s="17">
        <f>J7*'1. Premissas'!B32</f>
        <v/>
      </c>
      <c r="K8" s="17">
        <f>K7*'1. Premissas'!B32</f>
        <v/>
      </c>
      <c r="L8" s="17">
        <f>L7*'1. Premissas'!B32</f>
        <v/>
      </c>
      <c r="M8" s="17">
        <f>M7*'1. Premissas'!B32</f>
        <v/>
      </c>
      <c r="N8" s="17">
        <f>N7*'1. Premissas'!B32</f>
        <v/>
      </c>
      <c r="O8" s="17">
        <f>O7*'1. Premissas'!B32</f>
        <v/>
      </c>
      <c r="P8" s="17">
        <f>P7*'1. Premissas'!B32</f>
        <v/>
      </c>
      <c r="Q8" s="17">
        <f>Q7*'1. Premissas'!B32</f>
        <v/>
      </c>
      <c r="R8" s="17">
        <f>R7*'1. Premissas'!B32</f>
        <v/>
      </c>
      <c r="S8" s="17">
        <f>S7*'1. Premissas'!B32</f>
        <v/>
      </c>
      <c r="T8" s="17">
        <f>T7*'1. Premissas'!B32</f>
        <v/>
      </c>
      <c r="U8" s="17">
        <f>U7*'1. Premissas'!B32</f>
        <v/>
      </c>
      <c r="V8" s="17">
        <f>V7*'1. Premissas'!B32</f>
        <v/>
      </c>
      <c r="W8" s="17">
        <f>W7*'1. Premissas'!B32</f>
        <v/>
      </c>
      <c r="X8" s="17">
        <f>X7*'1. Premissas'!B32</f>
        <v/>
      </c>
      <c r="Y8" s="17">
        <f>Y7*'1. Premissas'!B32</f>
        <v/>
      </c>
    </row>
    <row r="9">
      <c r="A9" s="5" t="inlineStr">
        <is>
          <t>Custo variável</t>
        </is>
      </c>
      <c r="B9" s="17">
        <f>B5*'1. Premissas'!B28+B6*'1. Premissas'!B29</f>
        <v/>
      </c>
      <c r="C9" s="17">
        <f>C5*'1. Premissas'!B28+C6*'1. Premissas'!B29</f>
        <v/>
      </c>
      <c r="D9" s="17">
        <f>D5*'1. Premissas'!B28+D6*'1. Premissas'!B29</f>
        <v/>
      </c>
      <c r="E9" s="17">
        <f>E5*'1. Premissas'!B28+E6*'1. Premissas'!B29</f>
        <v/>
      </c>
      <c r="F9" s="17">
        <f>F5*'1. Premissas'!B28+F6*'1. Premissas'!B29</f>
        <v/>
      </c>
      <c r="G9" s="17">
        <f>G5*'1. Premissas'!B28+G6*'1. Premissas'!B29</f>
        <v/>
      </c>
      <c r="H9" s="17">
        <f>H5*'1. Premissas'!B28+H6*'1. Premissas'!B29</f>
        <v/>
      </c>
      <c r="I9" s="17">
        <f>I5*'1. Premissas'!B28+I6*'1. Premissas'!B29</f>
        <v/>
      </c>
      <c r="J9" s="17">
        <f>J5*'1. Premissas'!B28+J6*'1. Premissas'!B29</f>
        <v/>
      </c>
      <c r="K9" s="17">
        <f>K5*'1. Premissas'!B28+K6*'1. Premissas'!B29</f>
        <v/>
      </c>
      <c r="L9" s="17">
        <f>L5*'1. Premissas'!B28+L6*'1. Premissas'!B29</f>
        <v/>
      </c>
      <c r="M9" s="17">
        <f>M5*'1. Premissas'!B28+M6*'1. Premissas'!B29</f>
        <v/>
      </c>
      <c r="N9" s="17">
        <f>N5*'1. Premissas'!B28+N6*'1. Premissas'!B29</f>
        <v/>
      </c>
      <c r="O9" s="17">
        <f>O5*'1. Premissas'!B28+O6*'1. Premissas'!B29</f>
        <v/>
      </c>
      <c r="P9" s="17">
        <f>P5*'1. Premissas'!B28+P6*'1. Premissas'!B29</f>
        <v/>
      </c>
      <c r="Q9" s="17">
        <f>Q5*'1. Premissas'!B28+Q6*'1. Premissas'!B29</f>
        <v/>
      </c>
      <c r="R9" s="17">
        <f>R5*'1. Premissas'!B28+R6*'1. Premissas'!B29</f>
        <v/>
      </c>
      <c r="S9" s="17">
        <f>S5*'1. Premissas'!B28+S6*'1. Premissas'!B29</f>
        <v/>
      </c>
      <c r="T9" s="17">
        <f>T5*'1. Premissas'!B28+T6*'1. Premissas'!B29</f>
        <v/>
      </c>
      <c r="U9" s="17">
        <f>U5*'1. Premissas'!B28+U6*'1. Premissas'!B29</f>
        <v/>
      </c>
      <c r="V9" s="17">
        <f>V5*'1. Premissas'!B28+V6*'1. Premissas'!B29</f>
        <v/>
      </c>
      <c r="W9" s="17">
        <f>W5*'1. Premissas'!B28+W6*'1. Premissas'!B29</f>
        <v/>
      </c>
      <c r="X9" s="17">
        <f>X5*'1. Premissas'!B28+X6*'1. Premissas'!B29</f>
        <v/>
      </c>
      <c r="Y9" s="17">
        <f>Y5*'1. Premissas'!B28+Y6*'1. Premissas'!B29</f>
        <v/>
      </c>
    </row>
    <row r="10">
      <c r="A10" s="5" t="inlineStr">
        <is>
          <t>Custo fixo</t>
        </is>
      </c>
      <c r="B10" s="17">
        <f>'1. Premissas'!B25</f>
        <v/>
      </c>
      <c r="C10" s="17">
        <f>'1. Premissas'!B25</f>
        <v/>
      </c>
      <c r="D10" s="17">
        <f>'1. Premissas'!B25</f>
        <v/>
      </c>
      <c r="E10" s="17">
        <f>'1. Premissas'!B25</f>
        <v/>
      </c>
      <c r="F10" s="17">
        <f>'1. Premissas'!B25</f>
        <v/>
      </c>
      <c r="G10" s="17">
        <f>'1. Premissas'!B25</f>
        <v/>
      </c>
      <c r="H10" s="17">
        <f>'1. Premissas'!B25</f>
        <v/>
      </c>
      <c r="I10" s="17">
        <f>'1. Premissas'!B25</f>
        <v/>
      </c>
      <c r="J10" s="17">
        <f>'1. Premissas'!B25</f>
        <v/>
      </c>
      <c r="K10" s="17">
        <f>'1. Premissas'!B25</f>
        <v/>
      </c>
      <c r="L10" s="17">
        <f>'1. Premissas'!B25</f>
        <v/>
      </c>
      <c r="M10" s="17">
        <f>'1. Premissas'!B25</f>
        <v/>
      </c>
      <c r="N10" s="17">
        <f>'1. Premissas'!B25</f>
        <v/>
      </c>
      <c r="O10" s="17">
        <f>'1. Premissas'!B25</f>
        <v/>
      </c>
      <c r="P10" s="17">
        <f>'1. Premissas'!B25</f>
        <v/>
      </c>
      <c r="Q10" s="17">
        <f>'1. Premissas'!B25</f>
        <v/>
      </c>
      <c r="R10" s="17">
        <f>'1. Premissas'!B25</f>
        <v/>
      </c>
      <c r="S10" s="17">
        <f>'1. Premissas'!B25</f>
        <v/>
      </c>
      <c r="T10" s="17">
        <f>'1. Premissas'!B25</f>
        <v/>
      </c>
      <c r="U10" s="17">
        <f>'1. Premissas'!B25</f>
        <v/>
      </c>
      <c r="V10" s="17">
        <f>'1. Premissas'!B25</f>
        <v/>
      </c>
      <c r="W10" s="17">
        <f>'1. Premissas'!B25</f>
        <v/>
      </c>
      <c r="X10" s="17">
        <f>'1. Premissas'!B25</f>
        <v/>
      </c>
      <c r="Y10" s="17">
        <f>'1. Premissas'!B25</f>
        <v/>
      </c>
    </row>
    <row r="11">
      <c r="A11" s="9" t="inlineStr">
        <is>
          <t>Resultado do mês</t>
        </is>
      </c>
      <c r="B11" s="17">
        <f>B7-B8-B9-B10</f>
        <v/>
      </c>
      <c r="C11" s="17">
        <f>C7-C8-C9-C10</f>
        <v/>
      </c>
      <c r="D11" s="17">
        <f>D7-D8-D9-D10</f>
        <v/>
      </c>
      <c r="E11" s="17">
        <f>E7-E8-E9-E10</f>
        <v/>
      </c>
      <c r="F11" s="17">
        <f>F7-F8-F9-F10</f>
        <v/>
      </c>
      <c r="G11" s="17">
        <f>G7-G8-G9-G10</f>
        <v/>
      </c>
      <c r="H11" s="17">
        <f>H7-H8-H9-H10</f>
        <v/>
      </c>
      <c r="I11" s="17">
        <f>I7-I8-I9-I10</f>
        <v/>
      </c>
      <c r="J11" s="17">
        <f>J7-J8-J9-J10</f>
        <v/>
      </c>
      <c r="K11" s="17">
        <f>K7-K8-K9-K10</f>
        <v/>
      </c>
      <c r="L11" s="17">
        <f>L7-L8-L9-L10</f>
        <v/>
      </c>
      <c r="M11" s="17">
        <f>M7-M8-M9-M10</f>
        <v/>
      </c>
      <c r="N11" s="17">
        <f>N7-N8-N9-N10</f>
        <v/>
      </c>
      <c r="O11" s="17">
        <f>O7-O8-O9-O10</f>
        <v/>
      </c>
      <c r="P11" s="17">
        <f>P7-P8-P9-P10</f>
        <v/>
      </c>
      <c r="Q11" s="17">
        <f>Q7-Q8-Q9-Q10</f>
        <v/>
      </c>
      <c r="R11" s="17">
        <f>R7-R8-R9-R10</f>
        <v/>
      </c>
      <c r="S11" s="17">
        <f>S7-S8-S9-S10</f>
        <v/>
      </c>
      <c r="T11" s="17">
        <f>T7-T8-T9-T10</f>
        <v/>
      </c>
      <c r="U11" s="17">
        <f>U7-U8-U9-U10</f>
        <v/>
      </c>
      <c r="V11" s="17">
        <f>V7-V8-V9-V10</f>
        <v/>
      </c>
      <c r="W11" s="17">
        <f>W7-W8-W9-W10</f>
        <v/>
      </c>
      <c r="X11" s="17">
        <f>X7-X8-X9-X10</f>
        <v/>
      </c>
      <c r="Y11" s="17">
        <f>Y7-Y8-Y9-Y10</f>
        <v/>
      </c>
    </row>
    <row r="12">
      <c r="A12" s="9" t="inlineStr">
        <is>
          <t>Caixa acumulado</t>
        </is>
      </c>
      <c r="B12" s="17">
        <f>B11</f>
        <v/>
      </c>
      <c r="C12" s="17">
        <f>B12+C11</f>
        <v/>
      </c>
      <c r="D12" s="17">
        <f>C12+D11</f>
        <v/>
      </c>
      <c r="E12" s="17">
        <f>D12+E11</f>
        <v/>
      </c>
      <c r="F12" s="17">
        <f>E12+F11</f>
        <v/>
      </c>
      <c r="G12" s="17">
        <f>F12+G11</f>
        <v/>
      </c>
      <c r="H12" s="17">
        <f>G12+H11</f>
        <v/>
      </c>
      <c r="I12" s="17">
        <f>H12+I11</f>
        <v/>
      </c>
      <c r="J12" s="17">
        <f>I12+J11</f>
        <v/>
      </c>
      <c r="K12" s="17">
        <f>J12+K11</f>
        <v/>
      </c>
      <c r="L12" s="17">
        <f>K12+L11</f>
        <v/>
      </c>
      <c r="M12" s="17">
        <f>L12+M11</f>
        <v/>
      </c>
      <c r="N12" s="17">
        <f>M12+N11</f>
        <v/>
      </c>
      <c r="O12" s="17">
        <f>N12+O11</f>
        <v/>
      </c>
      <c r="P12" s="17">
        <f>O12+P11</f>
        <v/>
      </c>
      <c r="Q12" s="17">
        <f>P12+Q11</f>
        <v/>
      </c>
      <c r="R12" s="17">
        <f>Q12+R11</f>
        <v/>
      </c>
      <c r="S12" s="17">
        <f>R12+S11</f>
        <v/>
      </c>
      <c r="T12" s="17">
        <f>S12+T11</f>
        <v/>
      </c>
      <c r="U12" s="17">
        <f>T12+U11</f>
        <v/>
      </c>
      <c r="V12" s="17">
        <f>U12+V11</f>
        <v/>
      </c>
      <c r="W12" s="17">
        <f>V12+W11</f>
        <v/>
      </c>
      <c r="X12" s="17">
        <f>W12+X11</f>
        <v/>
      </c>
      <c r="Y12" s="17">
        <f>X12+Y11</f>
        <v/>
      </c>
    </row>
    <row r="14">
      <c r="A14" s="9" t="inlineStr">
        <is>
          <t>Ponto de equilíbrio</t>
        </is>
      </c>
    </row>
    <row r="15">
      <c r="A15" s="5" t="inlineStr">
        <is>
          <t>Clientes necessários para cobrir o fixo</t>
        </is>
      </c>
      <c r="B15" s="21">
        <f>ROUNDUP('1. Premissas'!B25/(('1.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Premissas'!B18)*(1-'1. Premissas'!B32)-'1. Premissas'!B28-'1. Premissas'!B38*'1. Premissas'!B29),0)</f>
        <v/>
      </c>
    </row>
    <row r="16">
      <c r="A16" s="5" t="inlineStr">
        <is>
          <t>Margem de contribuição por cliente/mês</t>
        </is>
      </c>
      <c r="B16" s="16">
        <f>(('1. Premissas'!B39*'1. Premissas'!B5+MIN('1.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Premissas'!B18)*(1-'1. Premissas'!B32)-'1. Premissas'!B28-'1. Premissas'!B38*'1. Premissas'!B29)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E se o preço baixar?</t>
        </is>
      </c>
    </row>
    <row r="2">
      <c r="A2" s="2" t="inlineStr">
        <is>
          <t>Quantos clientes a mais são necessários para manter o mesmo resultado.</t>
        </is>
      </c>
    </row>
    <row r="4">
      <c r="A4" s="22" t="inlineStr">
        <is>
          <t>Base/estab.</t>
        </is>
      </c>
      <c r="B4" s="22" t="inlineStr">
        <is>
          <t>Mensal por cliente</t>
        </is>
      </c>
      <c r="C4" s="22" t="inlineStr">
        <is>
          <t>MC por cliente</t>
        </is>
      </c>
      <c r="D4" s="22" t="inlineStr">
        <is>
          <t>Clientes p/ equilíbrio</t>
        </is>
      </c>
      <c r="E4" s="22" t="inlineStr">
        <is>
          <t>Receita no equilíbrio</t>
        </is>
      </c>
      <c r="F4" s="22" t="inlineStr">
        <is>
          <t>Variação vs. tabela</t>
        </is>
      </c>
    </row>
    <row r="5">
      <c r="A5" s="23" t="n">
        <v>1200</v>
      </c>
      <c r="B5" s="16">
        <f>('1. Premissas'!B39*1200+MIN('1.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C5" s="16">
        <f>B5*(1-'1. Premissas'!B32)-'1. Premissas'!B28-'1. Premissas'!B38*'1. Premissas'!B29</f>
        <v/>
      </c>
      <c r="D5" s="20">
        <f>ROUNDUP('1. Premissas'!B25/C5,0)</f>
        <v/>
      </c>
      <c r="E5" s="17">
        <f>D5*B5</f>
        <v/>
      </c>
      <c r="F5" s="18">
        <f>B5/$B$5-1</f>
        <v/>
      </c>
    </row>
    <row r="6">
      <c r="A6" s="23" t="n">
        <v>1000</v>
      </c>
      <c r="B6" s="16">
        <f>('1. Premissas'!B39*1000+MIN('1.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C6" s="16">
        <f>B6*(1-'1. Premissas'!B32)-'1. Premissas'!B28-'1. Premissas'!B38*'1. Premissas'!B29</f>
        <v/>
      </c>
      <c r="D6" s="20">
        <f>ROUNDUP('1. Premissas'!B25/C6,0)</f>
        <v/>
      </c>
      <c r="E6" s="17">
        <f>D6*B6</f>
        <v/>
      </c>
      <c r="F6" s="18">
        <f>B6/$B$5-1</f>
        <v/>
      </c>
    </row>
    <row r="7">
      <c r="A7" s="23" t="n">
        <v>900</v>
      </c>
      <c r="B7" s="16">
        <f>('1. Premissas'!B39*900+MIN('1.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C7" s="16">
        <f>B7*(1-'1. Premissas'!B32)-'1. Premissas'!B28-'1. Premissas'!B38*'1. Premissas'!B29</f>
        <v/>
      </c>
      <c r="D7" s="20">
        <f>ROUNDUP('1. Premissas'!B25/C7,0)</f>
        <v/>
      </c>
      <c r="E7" s="17">
        <f>D7*B7</f>
        <v/>
      </c>
      <c r="F7" s="18">
        <f>B7/$B$5-1</f>
        <v/>
      </c>
    </row>
    <row r="8">
      <c r="A8" s="23" t="n">
        <v>800</v>
      </c>
      <c r="B8" s="16">
        <f>('1. Premissas'!B39*800+MIN('1.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C8" s="16">
        <f>B8*(1-'1. Premissas'!B32)-'1. Premissas'!B28-'1. Premissas'!B38*'1. Premissas'!B29</f>
        <v/>
      </c>
      <c r="D8" s="20">
        <f>ROUNDUP('1. Premissas'!B25/C8,0)</f>
        <v/>
      </c>
      <c r="E8" s="17">
        <f>D8*B8</f>
        <v/>
      </c>
      <c r="F8" s="18">
        <f>B8/$B$5-1</f>
        <v/>
      </c>
    </row>
    <row r="9">
      <c r="A9" s="23" t="n">
        <v>700</v>
      </c>
      <c r="B9" s="16">
        <f>('1. Premissas'!B39*700+MIN('1.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C9" s="16">
        <f>B9*(1-'1. Premissas'!B32)-'1. Premissas'!B28-'1. Premissas'!B38*'1. Premissas'!B29</f>
        <v/>
      </c>
      <c r="D9" s="20">
        <f>ROUNDUP('1. Premissas'!B25/C9,0)</f>
        <v/>
      </c>
      <c r="E9" s="17">
        <f>D9*B9</f>
        <v/>
      </c>
      <c r="F9" s="18">
        <f>B9/$B$5-1</f>
        <v/>
      </c>
    </row>
    <row r="10">
      <c r="A10" s="23" t="n">
        <v>600</v>
      </c>
      <c r="B10" s="16">
        <f>('1. Premissas'!B39*600+MIN('1.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C10" s="16">
        <f>B10*(1-'1. Premissas'!B32)-'1. Premissas'!B28-'1. Premissas'!B38*'1. Premissas'!B29</f>
        <v/>
      </c>
      <c r="D10" s="20">
        <f>ROUNDUP('1. Premissas'!B25/C10,0)</f>
        <v/>
      </c>
      <c r="E10" s="17">
        <f>D10*B10</f>
        <v/>
      </c>
      <c r="F10" s="18">
        <f>B10/$B$5-1</f>
        <v/>
      </c>
    </row>
    <row r="11">
      <c r="A11" s="23" t="n">
        <v>500</v>
      </c>
      <c r="B11" s="16">
        <f>('1. Premissas'!B39*500+MIN('1.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C11" s="16">
        <f>B11*(1-'1. Premissas'!B32)-'1. Premissas'!B28-'1. Premissas'!B38*'1. Premissas'!B29</f>
        <v/>
      </c>
      <c r="D11" s="20">
        <f>ROUNDUP('1. Premissas'!B25/C11,0)</f>
        <v/>
      </c>
      <c r="E11" s="17">
        <f>D11*B11</f>
        <v/>
      </c>
      <c r="F11" s="18">
        <f>B11/$B$5-1</f>
        <v/>
      </c>
    </row>
    <row r="12">
      <c r="A12" s="23" t="n">
        <v>400</v>
      </c>
      <c r="B12" s="16">
        <f>('1. Premissas'!B39*400+MIN('1.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C12" s="16">
        <f>B12*(1-'1. Premissas'!B32)-'1. Premissas'!B28-'1. Premissas'!B38*'1. Premissas'!B29</f>
        <v/>
      </c>
      <c r="D12" s="20">
        <f>ROUNDUP('1. Premissas'!B25/C12,0)</f>
        <v/>
      </c>
      <c r="E12" s="17">
        <f>D12*B12</f>
        <v/>
      </c>
      <c r="F12" s="18">
        <f>B12/$B$5-1</f>
        <v/>
      </c>
    </row>
    <row r="13">
      <c r="A13" s="23" t="n">
        <v>300</v>
      </c>
      <c r="B13" s="16">
        <f>('1. Premissas'!B39*300+MIN('1. Premissas'!B38,'1. Premissas'!B10)*'1. Premissas'!B6+MAX(0,MIN('1. Premissas'!B38,'1. Premissas'!B11)-'1. Premissas'!B10)*'1. Premissas'!B7+MAX(0,MIN('1. Premissas'!B38,'1. Premissas'!B12)-'1. Premissas'!B11)*'1. Premissas'!B8+MAX(0,'1. Premissas'!B38-'1. Premissas'!B12)*'1. Premissas'!B9)*(1-'1. Premissas'!B40*'1. Premissas'!B18)</f>
        <v/>
      </c>
      <c r="C13" s="16">
        <f>B13*(1-'1. Premissas'!B32)-'1. Premissas'!B28-'1. Premissas'!B38*'1. Premissas'!B29</f>
        <v/>
      </c>
      <c r="D13" s="20">
        <f>ROUNDUP('1. Premissas'!B25/C13,0)</f>
        <v/>
      </c>
      <c r="E13" s="17">
        <f>D13*B13</f>
        <v/>
      </c>
      <c r="F13" s="18">
        <f>B13/$B$5-1</f>
        <v/>
      </c>
    </row>
    <row r="15">
      <c r="A15" s="2" t="inlineStr">
        <is>
          <t>Como ler esta tabela:</t>
        </is>
      </c>
    </row>
    <row r="16">
      <c r="A16" s="2" t="inlineStr"/>
    </row>
    <row r="17">
      <c r="A17" s="2" t="inlineStr">
        <is>
          <t>A coluna 'Clientes p/ equilíbrio' é a pergunta comercial de verdade. Baixar o preço só faz</t>
        </is>
      </c>
    </row>
    <row r="18">
      <c r="A18" s="2" t="inlineStr">
        <is>
          <t>sentido se o número de clientes crescer mais rápido que a queda da margem — e o quanto ele</t>
        </is>
      </c>
    </row>
    <row r="19">
      <c r="A19" s="2" t="inlineStr">
        <is>
          <t>precisa crescer está ali.</t>
        </is>
      </c>
    </row>
    <row r="20">
      <c r="A20" s="2" t="inlineStr"/>
    </row>
    <row r="21">
      <c r="A21" s="2" t="inlineStr">
        <is>
          <t>A coluna 'Por trab./mês' da aba 2 é a que o cliente calcula sozinho. É o número com que ele</t>
        </is>
      </c>
    </row>
    <row r="22">
      <c r="A22" s="2" t="inlineStr">
        <is>
          <t>compara você a qualquer concorrente, e o que ele leva para a reunião de diretoria.</t>
        </is>
      </c>
    </row>
    <row r="23">
      <c r="A23" s="2" t="inlineStr"/>
    </row>
    <row r="24">
      <c r="A24" s="2" t="inlineStr">
        <is>
          <t>Uma observação sobre a estrutura de preço, e não sobre o valor: cobrar por estabelecimento</t>
        </is>
      </c>
    </row>
    <row r="25">
      <c r="A25" s="2" t="inlineStr">
        <is>
          <t>penaliza justamente as redes — que são os maiores contratos. Uma empresa com 3.000 lojas paga</t>
        </is>
      </c>
    </row>
    <row r="26">
      <c r="A26" s="2" t="inlineStr">
        <is>
          <t>por 3.000 bases. Vale simular na aba 2 antes de conversar com varejo ou franquia.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2026-09-01T18:43:13Z</dcterms:created>
  <dcterms:modified xmlns:dcterms="http://purl.org/dc/terms/" xmlns:xsi="http://www.w3.org/2001/XMLSchema-instance" xsi:type="dcterms:W3CDTF">2026-09-01T18:43:13Z</dcterms:modified>
</cp:coreProperties>
</file>