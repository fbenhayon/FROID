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 primeiro" sheetId="1" state="visible" r:id="rId1"/>
    <sheet xmlns:r="http://schemas.openxmlformats.org/officeDocument/2006/relationships" name="Receita" sheetId="2" state="visible" r:id="rId2"/>
    <sheet xmlns:r="http://schemas.openxmlformats.org/officeDocument/2006/relationships" name="Cenários" sheetId="3" state="visible" r:id="rId3"/>
    <sheet xmlns:r="http://schemas.openxmlformats.org/officeDocument/2006/relationships" name="Anonimato" sheetId="4" state="visible" r:id="rId4"/>
    <sheet xmlns:r="http://schemas.openxmlformats.org/officeDocument/2006/relationships" name="Alavancas" sheetId="5" state="visible" r:id="rId5"/>
    <sheet xmlns:r="http://schemas.openxmlformats.org/officeDocument/2006/relationships" name="Concorrênci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R$ #,##0.00"/>
    <numFmt numFmtId="166" formatCode="R$ #,##0"/>
  </numFmts>
  <fonts count="12">
    <font>
      <name val="Calibri"/>
      <family val="2"/>
      <color theme="1"/>
      <sz val="11"/>
      <scheme val="minor"/>
    </font>
    <font>
      <b val="1"/>
      <sz val="15"/>
    </font>
    <font>
      <sz val="10"/>
    </font>
    <font>
      <b val="1"/>
      <color rgb="00F8FAFC"/>
      <sz val="11"/>
    </font>
    <font>
      <i val="1"/>
      <color rgb="00FCD34D"/>
    </font>
    <font>
      <b val="1"/>
      <color rgb="00F8FAFC"/>
      <sz val="12"/>
    </font>
    <font>
      <i val="1"/>
      <color rgb="0094A3B8"/>
      <sz val="9"/>
    </font>
    <font>
      <b val="1"/>
    </font>
    <font>
      <b val="1"/>
      <color rgb="00F8FAFC"/>
    </font>
    <font>
      <i val="1"/>
      <color rgb="0094A3B8"/>
    </font>
    <font>
      <b val="1"/>
      <color rgb="00FCD34D"/>
    </font>
    <font>
      <i val="1"/>
      <color rgb="00FCD34D"/>
      <sz val="9"/>
    </font>
  </fonts>
  <fills count="6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451A03"/>
      </patternFill>
    </fill>
    <fill>
      <patternFill patternType="solid">
        <fgColor rgb="000C4A6E"/>
      </patternFill>
    </fill>
    <fill>
      <patternFill patternType="solid">
        <fgColor rgb="00334155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5" fillId="2" borderId="0" pivotButton="0" quotePrefix="0" xfId="0"/>
    <xf numFmtId="0" fontId="0" fillId="2" borderId="0" pivotButton="0" quotePrefix="0" xfId="0"/>
    <xf numFmtId="0" fontId="6" fillId="0" borderId="0" pivotButton="0" quotePrefix="0" xfId="0"/>
    <xf numFmtId="0" fontId="7" fillId="0" borderId="1" pivotButton="0" quotePrefix="0" xfId="0"/>
    <xf numFmtId="0" fontId="8" fillId="4" borderId="1" pivotButton="0" quotePrefix="0" xfId="0"/>
    <xf numFmtId="164" fontId="8" fillId="4" borderId="1" pivotButton="0" quotePrefix="0" xfId="0"/>
    <xf numFmtId="0" fontId="8" fillId="5" borderId="0" pivotButton="0" quotePrefix="0" xfId="0"/>
    <xf numFmtId="165" fontId="8" fillId="4" borderId="1" pivotButton="0" quotePrefix="0" xfId="0"/>
    <xf numFmtId="0" fontId="9" fillId="0" borderId="0" pivotButton="0" quotePrefix="0" xfId="0"/>
    <xf numFmtId="0" fontId="8" fillId="5" borderId="0" applyAlignment="1" pivotButton="0" quotePrefix="0" xfId="0">
      <alignment wrapText="1"/>
    </xf>
    <xf numFmtId="1" fontId="0" fillId="0" borderId="1" pivotButton="0" quotePrefix="0" xfId="0"/>
    <xf numFmtId="165" fontId="0" fillId="0" borderId="1" pivotButton="0" quotePrefix="0" xfId="0"/>
    <xf numFmtId="165" fontId="10" fillId="3" borderId="1" pivotButton="0" quotePrefix="0" xfId="0"/>
    <xf numFmtId="166" fontId="10" fillId="3" borderId="1" pivotButton="0" quotePrefix="0" xfId="0"/>
    <xf numFmtId="166" fontId="0" fillId="0" borderId="1" pivotButton="0" quotePrefix="0" xfId="0"/>
    <xf numFmtId="0" fontId="8" fillId="5" borderId="0" applyAlignment="1" pivotButton="0" quotePrefix="0" xfId="0">
      <alignment horizontal="center" wrapText="1"/>
    </xf>
    <xf numFmtId="0" fontId="11" fillId="3" borderId="0" pivotButton="0" quotePrefix="0" xfId="0"/>
    <xf numFmtId="0" fontId="7" fillId="0" borderId="0" pivotButton="0" quotePrefix="0" xfId="0"/>
    <xf numFmtId="164" fontId="7" fillId="0" borderId="0" pivotButton="0" quotePrefix="0" xfId="0"/>
    <xf numFmtId="164" fontId="10" fillId="3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10" fillId="3" borderId="1" pivotButton="0" quotePrefix="0" xfId="0"/>
    <xf numFmtId="0" fontId="11" fillId="0" borderId="0" pivotButton="0" quotePrefix="0" xfId="0"/>
    <xf numFmtId="166" fontId="8" fillId="4" borderId="1" pivotButton="0" quotePrefix="0" xfId="0"/>
    <xf numFmtId="0" fontId="8" fillId="5" borderId="0" applyAlignment="1" pivotButton="0" quotePrefix="0" xfId="0">
      <alignment horizontal="center" vertical="center" wrapText="1"/>
    </xf>
    <xf numFmtId="1" fontId="8" fillId="4" borderId="1" pivotButton="0" quotePrefix="0" xfId="0"/>
    <xf numFmtId="0" fontId="8" fillId="5" borderId="0" applyAlignment="1" pivotButton="0" quotePrefix="0" xfId="0">
      <alignment horizontal="center"/>
    </xf>
    <xf numFmtId="0" fontId="2" fillId="0" borderId="1" applyAlignment="1" pivotButton="0" quotePrefix="0" xfId="0">
      <alignment wrapText="1"/>
    </xf>
    <xf numFmtId="0" fontId="10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25"/>
  <sheetViews>
    <sheetView showGridLines="0" workbookViewId="0">
      <selection activeCell="A1" sqref="A1"/>
    </sheetView>
  </sheetViews>
  <sheetFormatPr baseColWidth="8" defaultRowHeight="15"/>
  <cols>
    <col width="108" customWidth="1" min="1" max="1"/>
  </cols>
  <sheetData>
    <row r="2">
      <c r="A2" s="1" t="inlineStr">
        <is>
          <t>FROID NR-1 — simulador comercial</t>
        </is>
      </c>
    </row>
    <row r="3" ht="30" customHeight="1">
      <c r="A3" s="2" t="inlineStr"/>
    </row>
    <row r="4" ht="30" customHeight="1">
      <c r="A4" s="2" t="inlineStr">
        <is>
          <t>Células de fundo escuro são ENTRADAS. Todo o resto é fórmula e recalcula sozinho.</t>
        </is>
      </c>
    </row>
    <row r="5" ht="30" customHeight="1">
      <c r="A5" s="2" t="inlineStr"/>
    </row>
    <row r="6">
      <c r="A6" s="3" t="inlineStr">
        <is>
          <t>Receita</t>
        </is>
      </c>
    </row>
    <row r="7" ht="30" customHeight="1">
      <c r="A7" s="2" t="inlineStr">
        <is>
          <t>A conta de uma proposta. Efetivo, unidades, desconto e a tabela de preços de um lado; fatura decomposta faixa a faixa do outro.</t>
        </is>
      </c>
    </row>
    <row r="8" ht="30" customHeight="1">
      <c r="A8" s="2" t="inlineStr">
        <is>
          <t>Unidade é ESTABELECIMENTO, não departamento. Cinco setores no mesmo endereço são uma base, não cinco. Errar isso multiplica a fatura.</t>
        </is>
      </c>
    </row>
    <row r="9" ht="30" customHeight="1">
      <c r="A9" s="2" t="inlineStr"/>
    </row>
    <row r="10">
      <c r="A10" s="3" t="inlineStr">
        <is>
          <t>Cenários</t>
        </is>
      </c>
    </row>
    <row r="11" ht="30" customHeight="1">
      <c r="A11" s="2" t="inlineStr">
        <is>
          <t>A mesma tabela aplicada a doze efetivos. Serve para ver onde o preço por trabalhador cai e onde o contrato fica pequeno demais para o trabalho que dá.</t>
        </is>
      </c>
    </row>
    <row r="12" ht="30" customHeight="1">
      <c r="A12" s="2" t="inlineStr"/>
    </row>
    <row r="13">
      <c r="A13" s="3" t="inlineStr">
        <is>
          <t>Anonimato</t>
        </is>
      </c>
    </row>
    <row r="14" ht="30" customHeight="1">
      <c r="A14" s="2" t="inlineStr">
        <is>
          <t>A parte que preço nenhum resolve. Diz quantas respostas cada setor precisa para aparecer no relatório.</t>
        </is>
      </c>
    </row>
    <row r="15" ht="30" customHeight="1">
      <c r="A15" s="2" t="inlineStr">
        <is>
          <t>Os pisos vêm do banco e não são negociáveis comercialmente. Um recorte suprimido é o piso funcionando, não defeito — mas isso precisa estar combinado ANTES do contrato.</t>
        </is>
      </c>
    </row>
    <row r="16" ht="30" customHeight="1">
      <c r="A16" s="2" t="inlineStr"/>
    </row>
    <row r="17">
      <c r="A17" s="3" t="inlineStr">
        <is>
          <t>Alavancas</t>
        </is>
      </c>
    </row>
    <row r="18" ht="30" customHeight="1">
      <c r="A18" s="2" t="inlineStr">
        <is>
          <t>Compara a tabela vigente com cenários de reajuste. Não altera nada: é só para decidir.</t>
        </is>
      </c>
    </row>
    <row r="19" ht="30" customHeight="1">
      <c r="A19" s="2" t="inlineStr"/>
    </row>
    <row r="20">
      <c r="A20" s="3" t="inlineStr">
        <is>
          <t>Concorrência</t>
        </is>
      </c>
    </row>
    <row r="21" ht="30" customHeight="1">
      <c r="A21" s="2" t="inlineStr">
        <is>
          <t>Sai VAZIA de propósito — nenhum valor foi estimado. Preencha com cotações reais e anote fonte e data: preço sem procedência não sustenta argumento em reunião.</t>
        </is>
      </c>
    </row>
    <row r="22" ht="30" customHeight="1">
      <c r="A22" s="2" t="inlineStr">
        <is>
          <t>Aceita cobrança mensal ou por campanha, e calcula sozinha anual, ano 1, custo por trabalhador e a diferença contra o FROID.</t>
        </is>
      </c>
    </row>
    <row r="23" ht="30" customHeight="1">
      <c r="A23" s="2" t="inlineStr">
        <is>
          <t>Embaixo há a matriz de capacidades. Ela existe porque preço menor por escopo menor não é preço menor — é outro produto, e a diferença precisa aparecer na mesma tela.</t>
        </is>
      </c>
    </row>
    <row r="24" ht="30" customHeight="1">
      <c r="A24" s="2" t="inlineStr"/>
    </row>
    <row r="25" ht="58" customHeight="1">
      <c r="A25" s="4" t="inlineStr">
        <is>
          <t>O que esta planilha NÃO faz: não estima custo, não tem margem e não conhece preço de concorrente. É receita bruta. Enquanto o custo de operar uma campanha não estiver medido, ela mostra quanto entra — não quanto sobra.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34" customWidth="1" min="4" max="4"/>
    <col width="14" customWidth="1" min="5" max="5"/>
    <col width="14" customWidth="1" min="6" max="6"/>
    <col width="14" customWidth="1" min="7" max="7"/>
  </cols>
  <sheetData>
    <row r="1">
      <c r="A1" s="5" t="inlineStr">
        <is>
          <t xml:space="preserve">  FROID NR-1 — simulador de receita</t>
        </is>
      </c>
      <c r="B1" s="6" t="n"/>
      <c r="C1" s="6" t="n"/>
      <c r="D1" s="6" t="n"/>
      <c r="E1" s="6" t="n"/>
      <c r="F1" s="6" t="n"/>
      <c r="G1" s="6" t="n"/>
    </row>
    <row r="2">
      <c r="A2" s="7" t="inlineStr">
        <is>
          <t>Células escuras são entradas: mude e o resto recalcula. As faixas são cumulativas e incidem sobre o efetivo total.</t>
        </is>
      </c>
    </row>
    <row r="4">
      <c r="A4" s="5" t="inlineStr">
        <is>
          <t xml:space="preserve">  Cliente</t>
        </is>
      </c>
      <c r="B4" s="6" t="n"/>
      <c r="C4" s="6" t="n"/>
      <c r="D4" s="6" t="n"/>
      <c r="E4" s="6" t="n"/>
      <c r="F4" s="6" t="n"/>
      <c r="G4" s="6" t="n"/>
    </row>
    <row r="5">
      <c r="A5" s="8" t="inlineStr">
        <is>
          <t>Trabalhadores (efetivo total)</t>
        </is>
      </c>
      <c r="B5" s="9" t="n">
        <v>300</v>
      </c>
    </row>
    <row r="6">
      <c r="A6" s="8" t="inlineStr">
        <is>
          <t>Unidades (estabelecimentos)</t>
        </is>
      </c>
      <c r="B6" s="9" t="n">
        <v>1</v>
      </c>
      <c r="C6" s="7" t="inlineStr">
        <is>
          <t>departamento no mesmo endereço NÃO é unidade</t>
        </is>
      </c>
    </row>
    <row r="7">
      <c r="A7" s="8" t="inlineStr">
        <is>
          <t>Desconto aplicado</t>
        </is>
      </c>
      <c r="B7" s="10" t="n">
        <v>0</v>
      </c>
    </row>
    <row r="9">
      <c r="A9" s="5" t="inlineStr">
        <is>
          <t xml:space="preserve">  Tabela de preços</t>
        </is>
      </c>
      <c r="B9" s="6" t="n"/>
      <c r="C9" s="6" t="n"/>
      <c r="D9" s="6" t="n"/>
      <c r="E9" s="6" t="n"/>
      <c r="F9" s="6" t="n"/>
      <c r="G9" s="6" t="n"/>
    </row>
    <row r="10">
      <c r="A10" s="11" t="inlineStr">
        <is>
          <t>Componente</t>
        </is>
      </c>
      <c r="B10" s="11" t="inlineStr">
        <is>
          <t>Valor</t>
        </is>
      </c>
      <c r="C10" s="11" t="inlineStr">
        <is>
          <t>Até</t>
        </is>
      </c>
    </row>
    <row r="11">
      <c r="A11" s="8" t="inlineStr">
        <is>
          <t>Base da plataforma, por estabelecimento / mês</t>
        </is>
      </c>
      <c r="B11" s="12" t="n">
        <v>500</v>
      </c>
    </row>
    <row r="12">
      <c r="A12" s="8" t="inlineStr">
        <is>
          <t>Faixa 1 — por trabalhador / mês</t>
        </is>
      </c>
      <c r="B12" s="12" t="n">
        <v>15</v>
      </c>
      <c r="C12" s="9" t="n">
        <v>100</v>
      </c>
    </row>
    <row r="13">
      <c r="A13" s="8" t="inlineStr">
        <is>
          <t>Faixa 2 — por trabalhador / mês</t>
        </is>
      </c>
      <c r="B13" s="12" t="n">
        <v>12.5</v>
      </c>
      <c r="C13" s="9" t="n">
        <v>300</v>
      </c>
    </row>
    <row r="14">
      <c r="A14" s="8" t="inlineStr">
        <is>
          <t>Faixa 3 — por trabalhador / mês</t>
        </is>
      </c>
      <c r="B14" s="12" t="n">
        <v>9.300000000000001</v>
      </c>
      <c r="C14" s="9" t="n">
        <v>1000</v>
      </c>
    </row>
    <row r="15">
      <c r="A15" s="8" t="inlineStr">
        <is>
          <t>Faixa 4 — por trabalhador / mês</t>
        </is>
      </c>
      <c r="B15" s="12" t="n">
        <v>6.55</v>
      </c>
      <c r="C15" s="13" t="inlineStr">
        <is>
          <t>acima</t>
        </is>
      </c>
    </row>
    <row r="17">
      <c r="A17" s="8" t="inlineStr">
        <is>
          <t>Implantação (cobrança única)</t>
        </is>
      </c>
      <c r="B17" s="12" t="n">
        <v>0</v>
      </c>
      <c r="C17" s="7" t="inlineStr">
        <is>
          <t>hoje em branco na proposta</t>
        </is>
      </c>
    </row>
    <row r="19">
      <c r="A19" s="5" t="inlineStr">
        <is>
          <t xml:space="preserve">  Decomposição da fatura mensal</t>
        </is>
      </c>
      <c r="B19" s="6" t="n"/>
      <c r="C19" s="6" t="n"/>
      <c r="D19" s="6" t="n"/>
      <c r="E19" s="6" t="n"/>
      <c r="F19" s="6" t="n"/>
      <c r="G19" s="6" t="n"/>
    </row>
    <row r="20">
      <c r="A20" s="14" t="inlineStr">
        <is>
          <t>Componente</t>
        </is>
      </c>
      <c r="B20" s="14" t="inlineStr">
        <is>
          <t>Trabalhadores na faixa</t>
        </is>
      </c>
      <c r="C20" s="14" t="inlineStr">
        <is>
          <t>Subtotal / mês</t>
        </is>
      </c>
    </row>
    <row r="21">
      <c r="A21" s="8" t="inlineStr">
        <is>
          <t>Base da plataforma</t>
        </is>
      </c>
      <c r="B21" s="15">
        <f>B6</f>
        <v/>
      </c>
      <c r="C21" s="16">
        <f>B6*B11</f>
        <v/>
      </c>
    </row>
    <row r="22">
      <c r="A22" s="8" t="inlineStr">
        <is>
          <t>Faixa 1 (1 a 100)</t>
        </is>
      </c>
      <c r="B22" s="15">
        <f>MEDIAN(0,$B$5,$C$12)</f>
        <v/>
      </c>
      <c r="C22" s="16">
        <f>B22*B12</f>
        <v/>
      </c>
    </row>
    <row r="23">
      <c r="A23" s="8" t="inlineStr">
        <is>
          <t>Faixa 2 (101 a 300)</t>
        </is>
      </c>
      <c r="B23" s="15">
        <f>MEDIAN(0,$B$5-$C$12,$C$13-$C$12)</f>
        <v/>
      </c>
      <c r="C23" s="16">
        <f>B23*B13</f>
        <v/>
      </c>
    </row>
    <row r="24">
      <c r="A24" s="8" t="inlineStr">
        <is>
          <t>Faixa 3 (301 a 1.000)</t>
        </is>
      </c>
      <c r="B24" s="15">
        <f>MEDIAN(0,$B$5-$C$13,$C$14-$C$13)</f>
        <v/>
      </c>
      <c r="C24" s="16">
        <f>B24*B14</f>
        <v/>
      </c>
    </row>
    <row r="25">
      <c r="A25" s="8" t="inlineStr">
        <is>
          <t>Faixa 4 (acima de 1.000)</t>
        </is>
      </c>
      <c r="B25" s="15">
        <f>MAX(0,$B$5-$C$14)</f>
        <v/>
      </c>
      <c r="C25" s="16">
        <f>B25*B15</f>
        <v/>
      </c>
    </row>
    <row r="26">
      <c r="A26" s="8" t="inlineStr">
        <is>
          <t>Confere: soma das faixas</t>
        </is>
      </c>
      <c r="B26" s="15">
        <f>SUM(B22:B25)</f>
        <v/>
      </c>
      <c r="C26" s="7" t="inlineStr">
        <is>
          <t>deve igualar o efetivo</t>
        </is>
      </c>
    </row>
    <row r="28">
      <c r="A28" s="5" t="inlineStr">
        <is>
          <t xml:space="preserve">  Resultado</t>
        </is>
      </c>
      <c r="B28" s="6" t="n"/>
      <c r="C28" s="6" t="n"/>
      <c r="D28" s="6" t="n"/>
      <c r="E28" s="6" t="n"/>
      <c r="F28" s="6" t="n"/>
      <c r="G28" s="6" t="n"/>
    </row>
    <row r="29">
      <c r="A29" s="8" t="inlineStr">
        <is>
          <t>Mensal — tabela cheia</t>
        </is>
      </c>
      <c r="B29" s="16">
        <f>SUM(C21:C25)</f>
        <v/>
      </c>
    </row>
    <row r="30">
      <c r="A30" s="8" t="inlineStr">
        <is>
          <t>Mensal — com desconto</t>
        </is>
      </c>
      <c r="B30" s="17">
        <f>B29*(1-B7)</f>
        <v/>
      </c>
    </row>
    <row r="31">
      <c r="A31" s="8" t="inlineStr">
        <is>
          <t>Anual — com desconto</t>
        </is>
      </c>
      <c r="B31" s="18">
        <f>B30*12</f>
        <v/>
      </c>
    </row>
    <row r="32">
      <c r="A32" s="8" t="inlineStr">
        <is>
          <t>Ano 1 — anual + implantação</t>
        </is>
      </c>
      <c r="B32" s="18">
        <f>B31+B17</f>
        <v/>
      </c>
    </row>
    <row r="33">
      <c r="A33" s="8" t="inlineStr">
        <is>
          <t>Por trabalhador / ano</t>
        </is>
      </c>
      <c r="B33" s="16">
        <f>IF(B5=0,"",B31/B5)</f>
        <v/>
      </c>
    </row>
    <row r="34">
      <c r="A34" s="8" t="inlineStr">
        <is>
          <t>Por trabalhador / mês</t>
        </is>
      </c>
      <c r="B34" s="16">
        <f>IF(B5=0,"",B30/B5)</f>
        <v/>
      </c>
    </row>
    <row r="35">
      <c r="A35" s="8" t="inlineStr">
        <is>
          <t>Campanhas por ano</t>
        </is>
      </c>
      <c r="B35" s="9" t="n">
        <v>2</v>
      </c>
      <c r="D35" s="7" t="inlineStr">
        <is>
          <t>linha de base + verificação de eficácia</t>
        </is>
      </c>
    </row>
    <row r="36">
      <c r="A36" s="8" t="inlineStr">
        <is>
          <t>Receita por campanha</t>
        </is>
      </c>
      <c r="B36" s="19">
        <f>IF(B35=0,"",B31/B35)</f>
        <v/>
      </c>
    </row>
    <row r="37">
      <c r="A37" s="7" t="inlineStr">
        <is>
          <t>É esse número que o cliente compara com um orçamento de consultoria. Vale saber qual é antes da reunião.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8" customWidth="1" min="6" max="6"/>
  </cols>
  <sheetData>
    <row r="1">
      <c r="A1" s="5" t="inlineStr">
        <is>
          <t xml:space="preserve">  Mesma tabela, efetivos diferentes</t>
        </is>
      </c>
      <c r="B1" s="6" t="n"/>
      <c r="C1" s="6" t="n"/>
      <c r="D1" s="6" t="n"/>
      <c r="E1" s="6" t="n"/>
      <c r="F1" s="6" t="n"/>
    </row>
    <row r="2">
      <c r="A2" s="7" t="inlineStr">
        <is>
          <t>Usa a tabela de preços da aba Receita. Mude lá e esta recalcula. Unidades fixadas em 1.</t>
        </is>
      </c>
    </row>
    <row r="4">
      <c r="A4" s="20" t="inlineStr">
        <is>
          <t>Trabalhadores</t>
        </is>
      </c>
      <c r="B4" s="20" t="inlineStr">
        <is>
          <t>Mensal</t>
        </is>
      </c>
      <c r="C4" s="20" t="inlineStr">
        <is>
          <t>Anual</t>
        </is>
      </c>
      <c r="D4" s="20" t="inlineStr">
        <is>
          <t>Por trab./ano</t>
        </is>
      </c>
      <c r="E4" s="20" t="inlineStr">
        <is>
          <t>Por trab./mês</t>
        </is>
      </c>
      <c r="F4" s="20" t="inlineStr">
        <is>
          <t>Receita/campanha</t>
        </is>
      </c>
    </row>
    <row r="5">
      <c r="A5" s="9" t="n">
        <v>15</v>
      </c>
      <c r="B5" s="19">
        <f>Receita!$B$11+MEDIAN(0,A5,Receita!$C$12)*Receita!$B$12+MEDIAN(0,A5-Receita!$C$12,Receita!$C$13-Receita!$C$12)*Receita!$B$13+MEDIAN(0,A5-Receita!$C$13,Receita!$C$14-Receita!$C$13)*Receita!$B$14+MAX(0,A5-Receita!$C$14)*Receita!$B$15</f>
        <v/>
      </c>
      <c r="C5" s="19">
        <f>B5*12</f>
        <v/>
      </c>
      <c r="D5" s="16">
        <f>C5/A5</f>
        <v/>
      </c>
      <c r="E5" s="16">
        <f>B5/A5</f>
        <v/>
      </c>
      <c r="F5" s="19">
        <f>IF(Receita!$B$35=0,"",C5/Receita!$B$35)</f>
        <v/>
      </c>
    </row>
    <row r="6">
      <c r="A6" s="9" t="n">
        <v>25</v>
      </c>
      <c r="B6" s="19">
        <f>Receita!$B$11+MEDIAN(0,A6,Receita!$C$12)*Receita!$B$12+MEDIAN(0,A6-Receita!$C$12,Receita!$C$13-Receita!$C$12)*Receita!$B$13+MEDIAN(0,A6-Receita!$C$13,Receita!$C$14-Receita!$C$13)*Receita!$B$14+MAX(0,A6-Receita!$C$14)*Receita!$B$15</f>
        <v/>
      </c>
      <c r="C6" s="19">
        <f>B6*12</f>
        <v/>
      </c>
      <c r="D6" s="16">
        <f>C6/A6</f>
        <v/>
      </c>
      <c r="E6" s="16">
        <f>B6/A6</f>
        <v/>
      </c>
      <c r="F6" s="19">
        <f>IF(Receita!$B$35=0,"",C6/Receita!$B$35)</f>
        <v/>
      </c>
    </row>
    <row r="7">
      <c r="A7" s="9" t="n">
        <v>40</v>
      </c>
      <c r="B7" s="19">
        <f>Receita!$B$11+MEDIAN(0,A7,Receita!$C$12)*Receita!$B$12+MEDIAN(0,A7-Receita!$C$12,Receita!$C$13-Receita!$C$12)*Receita!$B$13+MEDIAN(0,A7-Receita!$C$13,Receita!$C$14-Receita!$C$13)*Receita!$B$14+MAX(0,A7-Receita!$C$14)*Receita!$B$15</f>
        <v/>
      </c>
      <c r="C7" s="19">
        <f>B7*12</f>
        <v/>
      </c>
      <c r="D7" s="16">
        <f>C7/A7</f>
        <v/>
      </c>
      <c r="E7" s="16">
        <f>B7/A7</f>
        <v/>
      </c>
      <c r="F7" s="19">
        <f>IF(Receita!$B$35=0,"",C7/Receita!$B$35)</f>
        <v/>
      </c>
    </row>
    <row r="8">
      <c r="A8" s="9" t="n">
        <v>50</v>
      </c>
      <c r="B8" s="19">
        <f>Receita!$B$11+MEDIAN(0,A8,Receita!$C$12)*Receita!$B$12+MEDIAN(0,A8-Receita!$C$12,Receita!$C$13-Receita!$C$12)*Receita!$B$13+MEDIAN(0,A8-Receita!$C$13,Receita!$C$14-Receita!$C$13)*Receita!$B$14+MAX(0,A8-Receita!$C$14)*Receita!$B$15</f>
        <v/>
      </c>
      <c r="C8" s="19">
        <f>B8*12</f>
        <v/>
      </c>
      <c r="D8" s="16">
        <f>C8/A8</f>
        <v/>
      </c>
      <c r="E8" s="16">
        <f>B8/A8</f>
        <v/>
      </c>
      <c r="F8" s="19">
        <f>IF(Receita!$B$35=0,"",C8/Receita!$B$35)</f>
        <v/>
      </c>
    </row>
    <row r="9">
      <c r="A9" s="9" t="n">
        <v>75</v>
      </c>
      <c r="B9" s="19">
        <f>Receita!$B$11+MEDIAN(0,A9,Receita!$C$12)*Receita!$B$12+MEDIAN(0,A9-Receita!$C$12,Receita!$C$13-Receita!$C$12)*Receita!$B$13+MEDIAN(0,A9-Receita!$C$13,Receita!$C$14-Receita!$C$13)*Receita!$B$14+MAX(0,A9-Receita!$C$14)*Receita!$B$15</f>
        <v/>
      </c>
      <c r="C9" s="19">
        <f>B9*12</f>
        <v/>
      </c>
      <c r="D9" s="16">
        <f>C9/A9</f>
        <v/>
      </c>
      <c r="E9" s="16">
        <f>B9/A9</f>
        <v/>
      </c>
      <c r="F9" s="19">
        <f>IF(Receita!$B$35=0,"",C9/Receita!$B$35)</f>
        <v/>
      </c>
    </row>
    <row r="10">
      <c r="A10" s="9" t="n">
        <v>100</v>
      </c>
      <c r="B10" s="19">
        <f>Receita!$B$11+MEDIAN(0,A10,Receita!$C$12)*Receita!$B$12+MEDIAN(0,A10-Receita!$C$12,Receita!$C$13-Receita!$C$12)*Receita!$B$13+MEDIAN(0,A10-Receita!$C$13,Receita!$C$14-Receita!$C$13)*Receita!$B$14+MAX(0,A10-Receita!$C$14)*Receita!$B$15</f>
        <v/>
      </c>
      <c r="C10" s="19">
        <f>B10*12</f>
        <v/>
      </c>
      <c r="D10" s="16">
        <f>C10/A10</f>
        <v/>
      </c>
      <c r="E10" s="16">
        <f>B10/A10</f>
        <v/>
      </c>
      <c r="F10" s="19">
        <f>IF(Receita!$B$35=0,"",C10/Receita!$B$35)</f>
        <v/>
      </c>
    </row>
    <row r="11">
      <c r="A11" s="9" t="n">
        <v>150</v>
      </c>
      <c r="B11" s="19">
        <f>Receita!$B$11+MEDIAN(0,A11,Receita!$C$12)*Receita!$B$12+MEDIAN(0,A11-Receita!$C$12,Receita!$C$13-Receita!$C$12)*Receita!$B$13+MEDIAN(0,A11-Receita!$C$13,Receita!$C$14-Receita!$C$13)*Receita!$B$14+MAX(0,A11-Receita!$C$14)*Receita!$B$15</f>
        <v/>
      </c>
      <c r="C11" s="19">
        <f>B11*12</f>
        <v/>
      </c>
      <c r="D11" s="16">
        <f>C11/A11</f>
        <v/>
      </c>
      <c r="E11" s="16">
        <f>B11/A11</f>
        <v/>
      </c>
      <c r="F11" s="19">
        <f>IF(Receita!$B$35=0,"",C11/Receita!$B$35)</f>
        <v/>
      </c>
    </row>
    <row r="12">
      <c r="A12" s="9" t="n">
        <v>200</v>
      </c>
      <c r="B12" s="19">
        <f>Receita!$B$11+MEDIAN(0,A12,Receita!$C$12)*Receita!$B$12+MEDIAN(0,A12-Receita!$C$12,Receita!$C$13-Receita!$C$12)*Receita!$B$13+MEDIAN(0,A12-Receita!$C$13,Receita!$C$14-Receita!$C$13)*Receita!$B$14+MAX(0,A12-Receita!$C$14)*Receita!$B$15</f>
        <v/>
      </c>
      <c r="C12" s="19">
        <f>B12*12</f>
        <v/>
      </c>
      <c r="D12" s="16">
        <f>C12/A12</f>
        <v/>
      </c>
      <c r="E12" s="16">
        <f>B12/A12</f>
        <v/>
      </c>
      <c r="F12" s="19">
        <f>IF(Receita!$B$35=0,"",C12/Receita!$B$35)</f>
        <v/>
      </c>
    </row>
    <row r="13">
      <c r="A13" s="9" t="n">
        <v>300</v>
      </c>
      <c r="B13" s="19">
        <f>Receita!$B$11+MEDIAN(0,A13,Receita!$C$12)*Receita!$B$12+MEDIAN(0,A13-Receita!$C$12,Receita!$C$13-Receita!$C$12)*Receita!$B$13+MEDIAN(0,A13-Receita!$C$13,Receita!$C$14-Receita!$C$13)*Receita!$B$14+MAX(0,A13-Receita!$C$14)*Receita!$B$15</f>
        <v/>
      </c>
      <c r="C13" s="19">
        <f>B13*12</f>
        <v/>
      </c>
      <c r="D13" s="16">
        <f>C13/A13</f>
        <v/>
      </c>
      <c r="E13" s="16">
        <f>B13/A13</f>
        <v/>
      </c>
      <c r="F13" s="19">
        <f>IF(Receita!$B$35=0,"",C13/Receita!$B$35)</f>
        <v/>
      </c>
    </row>
    <row r="14">
      <c r="A14" s="9" t="n">
        <v>500</v>
      </c>
      <c r="B14" s="19">
        <f>Receita!$B$11+MEDIAN(0,A14,Receita!$C$12)*Receita!$B$12+MEDIAN(0,A14-Receita!$C$12,Receita!$C$13-Receita!$C$12)*Receita!$B$13+MEDIAN(0,A14-Receita!$C$13,Receita!$C$14-Receita!$C$13)*Receita!$B$14+MAX(0,A14-Receita!$C$14)*Receita!$B$15</f>
        <v/>
      </c>
      <c r="C14" s="19">
        <f>B14*12</f>
        <v/>
      </c>
      <c r="D14" s="16">
        <f>C14/A14</f>
        <v/>
      </c>
      <c r="E14" s="16">
        <f>B14/A14</f>
        <v/>
      </c>
      <c r="F14" s="19">
        <f>IF(Receita!$B$35=0,"",C14/Receita!$B$35)</f>
        <v/>
      </c>
    </row>
    <row r="15">
      <c r="A15" s="9" t="n">
        <v>750</v>
      </c>
      <c r="B15" s="19">
        <f>Receita!$B$11+MEDIAN(0,A15,Receita!$C$12)*Receita!$B$12+MEDIAN(0,A15-Receita!$C$12,Receita!$C$13-Receita!$C$12)*Receita!$B$13+MEDIAN(0,A15-Receita!$C$13,Receita!$C$14-Receita!$C$13)*Receita!$B$14+MAX(0,A15-Receita!$C$14)*Receita!$B$15</f>
        <v/>
      </c>
      <c r="C15" s="19">
        <f>B15*12</f>
        <v/>
      </c>
      <c r="D15" s="16">
        <f>C15/A15</f>
        <v/>
      </c>
      <c r="E15" s="16">
        <f>B15/A15</f>
        <v/>
      </c>
      <c r="F15" s="19">
        <f>IF(Receita!$B$35=0,"",C15/Receita!$B$35)</f>
        <v/>
      </c>
    </row>
    <row r="16">
      <c r="A16" s="9" t="n">
        <v>1000</v>
      </c>
      <c r="B16" s="19">
        <f>Receita!$B$11+MEDIAN(0,A16,Receita!$C$12)*Receita!$B$12+MEDIAN(0,A16-Receita!$C$12,Receita!$C$13-Receita!$C$12)*Receita!$B$13+MEDIAN(0,A16-Receita!$C$13,Receita!$C$14-Receita!$C$13)*Receita!$B$14+MAX(0,A16-Receita!$C$14)*Receita!$B$15</f>
        <v/>
      </c>
      <c r="C16" s="19">
        <f>B16*12</f>
        <v/>
      </c>
      <c r="D16" s="16">
        <f>C16/A16</f>
        <v/>
      </c>
      <c r="E16" s="16">
        <f>B16/A16</f>
        <v/>
      </c>
      <c r="F16" s="19">
        <f>IF(Receita!$B$35=0,"",C16/Receita!$B$35)</f>
        <v/>
      </c>
    </row>
    <row r="17">
      <c r="A17" s="9" t="n">
        <v>1500</v>
      </c>
      <c r="B17" s="19">
        <f>Receita!$B$11+MEDIAN(0,A17,Receita!$C$12)*Receita!$B$12+MEDIAN(0,A17-Receita!$C$12,Receita!$C$13-Receita!$C$12)*Receita!$B$13+MEDIAN(0,A17-Receita!$C$13,Receita!$C$14-Receita!$C$13)*Receita!$B$14+MAX(0,A17-Receita!$C$14)*Receita!$B$15</f>
        <v/>
      </c>
      <c r="C17" s="19">
        <f>B17*12</f>
        <v/>
      </c>
      <c r="D17" s="16">
        <f>C17/A17</f>
        <v/>
      </c>
      <c r="E17" s="16">
        <f>B17/A17</f>
        <v/>
      </c>
      <c r="F17" s="19">
        <f>IF(Receita!$B$35=0,"",C17/Receita!$B$35)</f>
        <v/>
      </c>
    </row>
    <row r="18">
      <c r="A18" s="9" t="n">
        <v>3000</v>
      </c>
      <c r="B18" s="19">
        <f>Receita!$B$11+MEDIAN(0,A18,Receita!$C$12)*Receita!$B$12+MEDIAN(0,A18-Receita!$C$12,Receita!$C$13-Receita!$C$12)*Receita!$B$13+MEDIAN(0,A18-Receita!$C$13,Receita!$C$14-Receita!$C$13)*Receita!$B$14+MAX(0,A18-Receita!$C$14)*Receita!$B$15</f>
        <v/>
      </c>
      <c r="C18" s="19">
        <f>B18*12</f>
        <v/>
      </c>
      <c r="D18" s="16">
        <f>C18/A18</f>
        <v/>
      </c>
      <c r="E18" s="16">
        <f>B18/A18</f>
        <v/>
      </c>
      <c r="F18" s="19">
        <f>IF(Receita!$B$35=0,"",C18/Receita!$B$35)</f>
        <v/>
      </c>
    </row>
    <row r="19">
      <c r="A19" s="9" t="n">
        <v>5000</v>
      </c>
      <c r="B19" s="19">
        <f>Receita!$B$11+MEDIAN(0,A19,Receita!$C$12)*Receita!$B$12+MEDIAN(0,A19-Receita!$C$12,Receita!$C$13-Receita!$C$12)*Receita!$B$13+MEDIAN(0,A19-Receita!$C$13,Receita!$C$14-Receita!$C$13)*Receita!$B$14+MAX(0,A19-Receita!$C$14)*Receita!$B$15</f>
        <v/>
      </c>
      <c r="C19" s="19">
        <f>B19*12</f>
        <v/>
      </c>
      <c r="D19" s="16">
        <f>C19/A19</f>
        <v/>
      </c>
      <c r="E19" s="16">
        <f>B19/A19</f>
        <v/>
      </c>
      <c r="F19" s="19">
        <f>IF(Receita!$B$35=0,"",C19/Receita!$B$35)</f>
        <v/>
      </c>
    </row>
    <row r="21">
      <c r="A21" s="21" t="inlineStr">
        <is>
          <t>Os efetivos de 50 e 75 estão aqui de propósito: abaixo de cerca de 75 a campanha não atinge o piso de anonimato e não produz resultado liberável. Ver a aba Anonimato antes de propor.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22" customWidth="1" min="3" max="3"/>
    <col width="20" customWidth="1" min="4" max="4"/>
    <col width="22" customWidth="1" min="5" max="5"/>
    <col width="12" customWidth="1" min="6" max="6"/>
  </cols>
  <sheetData>
    <row r="1">
      <c r="A1" s="5" t="inlineStr">
        <is>
          <t xml:space="preserve">  Quantas respostas para o resultado sair</t>
        </is>
      </c>
      <c r="B1" s="6" t="n"/>
      <c r="C1" s="6" t="n"/>
      <c r="D1" s="6" t="n"/>
      <c r="E1" s="6" t="n"/>
      <c r="F1" s="6" t="n"/>
    </row>
    <row r="2">
      <c r="A2" s="7" t="inlineStr">
        <is>
          <t>Os pisos NÃO são configuráveis comercialmente: estão no banco e existem para proteger o trabalhador. Esta aba diz o que a adesão precisa ser, não o contrário.</t>
        </is>
      </c>
    </row>
    <row r="4">
      <c r="A4" s="5" t="inlineStr">
        <is>
          <t xml:space="preserve">  Pisos do sistema</t>
        </is>
      </c>
      <c r="B4" s="6" t="n"/>
      <c r="C4" s="6" t="n"/>
      <c r="D4" s="6" t="n"/>
      <c r="E4" s="6" t="n"/>
      <c r="F4" s="6" t="n"/>
    </row>
    <row r="5">
      <c r="A5" s="8" t="inlineStr">
        <is>
          <t>Piso da campanha (respostas substantivas)</t>
        </is>
      </c>
      <c r="B5" s="22" t="n">
        <v>15</v>
      </c>
      <c r="D5" s="7" t="inlineStr">
        <is>
          <t>froid_nr1_min_cohort_total()</t>
        </is>
      </c>
    </row>
    <row r="6">
      <c r="A6" s="8" t="inlineStr">
        <is>
          <t>Piso por recorte (setor / unidade)</t>
        </is>
      </c>
      <c r="B6" s="22" t="n">
        <v>10</v>
      </c>
      <c r="D6" s="7" t="inlineStr">
        <is>
          <t>froid_nr1_min_cohort_cut()</t>
        </is>
      </c>
    </row>
    <row r="7">
      <c r="A7" s="8" t="inlineStr">
        <is>
          <t>Cobertura mínima para a resposta contar</t>
        </is>
      </c>
      <c r="B7" s="23" t="n">
        <v>0.5</v>
      </c>
      <c r="D7" s="7" t="inlineStr">
        <is>
          <t>das dimensões do instrumento</t>
        </is>
      </c>
    </row>
    <row r="9">
      <c r="A9" s="5" t="inlineStr">
        <is>
          <t xml:space="preserve">  Adesão esperada</t>
        </is>
      </c>
      <c r="B9" s="6" t="n"/>
      <c r="C9" s="6" t="n"/>
      <c r="D9" s="6" t="n"/>
      <c r="E9" s="6" t="n"/>
      <c r="F9" s="6" t="n"/>
    </row>
    <row r="10">
      <c r="A10" s="8" t="inlineStr">
        <is>
          <t>Adesão (respondem)</t>
        </is>
      </c>
      <c r="B10" s="10" t="n">
        <v>0.7</v>
      </c>
    </row>
    <row r="11">
      <c r="A11" s="8" t="inlineStr">
        <is>
          <t>Dos que respondem, quantos completam o suficiente</t>
        </is>
      </c>
      <c r="B11" s="10" t="n">
        <v>0.85</v>
      </c>
    </row>
    <row r="12">
      <c r="A12" s="8" t="inlineStr">
        <is>
          <t>Taxa efetiva (substantivas / convidados)</t>
        </is>
      </c>
      <c r="B12" s="24">
        <f>B10*B11</f>
        <v/>
      </c>
    </row>
    <row r="14">
      <c r="A14" s="5" t="inlineStr">
        <is>
          <t xml:space="preserve">  Departamentos</t>
        </is>
      </c>
      <c r="B14" s="6" t="n"/>
      <c r="C14" s="6" t="n"/>
      <c r="D14" s="6" t="n"/>
      <c r="E14" s="6" t="n"/>
      <c r="F14" s="6" t="n"/>
    </row>
    <row r="15">
      <c r="A15" s="20" t="inlineStr">
        <is>
          <t>Departamento</t>
        </is>
      </c>
      <c r="B15" s="20" t="inlineStr">
        <is>
          <t>Efetivo</t>
        </is>
      </c>
      <c r="C15" s="20" t="inlineStr">
        <is>
          <t>Respostas substantivas previstas</t>
        </is>
      </c>
      <c r="D15" s="20" t="inlineStr">
        <is>
          <t>Publica?</t>
        </is>
      </c>
      <c r="E15" s="20" t="inlineStr">
        <is>
          <t>Adesão mínima para publicar</t>
        </is>
      </c>
      <c r="F15" s="20" t="inlineStr">
        <is>
          <t>Folga</t>
        </is>
      </c>
    </row>
    <row r="16">
      <c r="A16" s="9" t="inlineStr">
        <is>
          <t>Operações</t>
        </is>
      </c>
      <c r="B16" s="9" t="n">
        <v>120</v>
      </c>
      <c r="C16" s="15">
        <f>ROUND(B16*$B$12,0)</f>
        <v/>
      </c>
      <c r="D16" s="25">
        <f>IF(C16&gt;=$B$6,"sim","SUPRIMIDO")</f>
        <v/>
      </c>
      <c r="E16" s="26">
        <f>IF(B16=0,"",$B$6/B16/$B$11)</f>
        <v/>
      </c>
      <c r="F16" s="15">
        <f>C16-$B$6</f>
        <v/>
      </c>
    </row>
    <row r="17">
      <c r="A17" s="9" t="inlineStr">
        <is>
          <t>Comercial</t>
        </is>
      </c>
      <c r="B17" s="9" t="n">
        <v>80</v>
      </c>
      <c r="C17" s="15">
        <f>ROUND(B17*$B$12,0)</f>
        <v/>
      </c>
      <c r="D17" s="25">
        <f>IF(C17&gt;=$B$6,"sim","SUPRIMIDO")</f>
        <v/>
      </c>
      <c r="E17" s="26">
        <f>IF(B17=0,"",$B$6/B17/$B$11)</f>
        <v/>
      </c>
      <c r="F17" s="15">
        <f>C17-$B$6</f>
        <v/>
      </c>
    </row>
    <row r="18">
      <c r="A18" s="9" t="inlineStr">
        <is>
          <t>Administrativo</t>
        </is>
      </c>
      <c r="B18" s="9" t="n">
        <v>50</v>
      </c>
      <c r="C18" s="15">
        <f>ROUND(B18*$B$12,0)</f>
        <v/>
      </c>
      <c r="D18" s="25">
        <f>IF(C18&gt;=$B$6,"sim","SUPRIMIDO")</f>
        <v/>
      </c>
      <c r="E18" s="26">
        <f>IF(B18=0,"",$B$6/B18/$B$11)</f>
        <v/>
      </c>
      <c r="F18" s="15">
        <f>C18-$B$6</f>
        <v/>
      </c>
    </row>
    <row r="19">
      <c r="A19" s="9" t="inlineStr">
        <is>
          <t>Logística</t>
        </is>
      </c>
      <c r="B19" s="9" t="n">
        <v>30</v>
      </c>
      <c r="C19" s="15">
        <f>ROUND(B19*$B$12,0)</f>
        <v/>
      </c>
      <c r="D19" s="25">
        <f>IF(C19&gt;=$B$6,"sim","SUPRIMIDO")</f>
        <v/>
      </c>
      <c r="E19" s="26">
        <f>IF(B19=0,"",$B$6/B19/$B$11)</f>
        <v/>
      </c>
      <c r="F19" s="15">
        <f>C19-$B$6</f>
        <v/>
      </c>
    </row>
    <row r="20">
      <c r="A20" s="9" t="inlineStr">
        <is>
          <t>Diretoria</t>
        </is>
      </c>
      <c r="B20" s="9" t="n">
        <v>20</v>
      </c>
      <c r="C20" s="15">
        <f>ROUND(B20*$B$12,0)</f>
        <v/>
      </c>
      <c r="D20" s="25">
        <f>IF(C20&gt;=$B$6,"sim","SUPRIMIDO")</f>
        <v/>
      </c>
      <c r="E20" s="26">
        <f>IF(B20=0,"",$B$6/B20/$B$11)</f>
        <v/>
      </c>
      <c r="F20" s="15">
        <f>C20-$B$6</f>
        <v/>
      </c>
    </row>
    <row r="21">
      <c r="A21" s="8" t="inlineStr">
        <is>
          <t>Total da campanha</t>
        </is>
      </c>
      <c r="B21" s="15">
        <f>SUM(B16:B20)</f>
        <v/>
      </c>
      <c r="C21" s="15">
        <f>SUM(C16:C20)</f>
        <v/>
      </c>
      <c r="D21" s="27">
        <f>IF(C21&gt;=$B$5,"campanha liberada","ABAIXO DO PISO")</f>
        <v/>
      </c>
    </row>
    <row r="23" ht="46" customHeight="1">
      <c r="A23" s="28" t="inlineStr">
        <is>
          <t>O menor departamento é quem manda: leia a coluna “Adesão mínima para publicar” de baixo para cima. Ela não é o piso dividido pelo efetivo — embute também a completude, porque resposta que não cobre metade das dimensões não conta. É por isso que a exigência do setor pequeno é maior do que a conta de cabeça sugere, e é sobre esse setor que o cliente vai perguntar na reunião.</t>
        </is>
      </c>
    </row>
    <row r="25">
      <c r="A25" s="7" t="inlineStr">
        <is>
          <t>Recorte suprimido não é falha do FROID: é o piso de anonimato funcionando. Combinar isso ANTES do contrato evita a conversa ruim depois da campanha encerrada.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  <col width="16" customWidth="1" min="8" max="8"/>
    <col width="12" customWidth="1" min="9" max="9"/>
  </cols>
  <sheetData>
    <row r="1">
      <c r="A1" s="5" t="inlineStr">
        <is>
          <t xml:space="preserve">  E se a tabela mudasse?</t>
        </is>
      </c>
      <c r="B1" s="6" t="n"/>
      <c r="C1" s="6" t="n"/>
      <c r="D1" s="6" t="n"/>
      <c r="E1" s="6" t="n"/>
      <c r="F1" s="6" t="n"/>
      <c r="G1" s="6" t="n"/>
    </row>
    <row r="2">
      <c r="A2" s="7" t="inlineStr">
        <is>
          <t>Compara a tabela vigente com cenários de reajuste, no efetivo informado na aba Receita. Nada aqui altera a tabela real.</t>
        </is>
      </c>
    </row>
    <row r="4">
      <c r="A4" s="8" t="inlineStr">
        <is>
          <t>Efetivo simulado</t>
        </is>
      </c>
      <c r="B4" s="15">
        <f>Receita!B5</f>
        <v/>
      </c>
    </row>
    <row r="6">
      <c r="A6" s="20" t="inlineStr">
        <is>
          <t>Cenário</t>
        </is>
      </c>
      <c r="B6" s="20" t="inlineStr">
        <is>
          <t>Base/mês</t>
        </is>
      </c>
      <c r="C6" s="20" t="inlineStr">
        <is>
          <t>Faixa 1</t>
        </is>
      </c>
      <c r="D6" s="20" t="inlineStr">
        <is>
          <t>Faixa 2</t>
        </is>
      </c>
      <c r="E6" s="20" t="inlineStr">
        <is>
          <t>Faixa 3</t>
        </is>
      </c>
      <c r="F6" s="20" t="inlineStr">
        <is>
          <t>Faixa 4</t>
        </is>
      </c>
      <c r="G6" s="20" t="inlineStr">
        <is>
          <t>Mensal</t>
        </is>
      </c>
      <c r="H6" s="20" t="inlineStr">
        <is>
          <t>Anual</t>
        </is>
      </c>
      <c r="I6" s="20" t="inlineStr">
        <is>
          <t>Variação</t>
        </is>
      </c>
    </row>
    <row r="7">
      <c r="A7" s="8" t="inlineStr">
        <is>
          <t>Vigente</t>
        </is>
      </c>
      <c r="B7" s="29" t="n">
        <v>500</v>
      </c>
      <c r="C7" s="12" t="n">
        <v>15</v>
      </c>
      <c r="D7" s="12" t="n">
        <v>12.5</v>
      </c>
      <c r="E7" s="12" t="n">
        <v>9.300000000000001</v>
      </c>
      <c r="F7" s="12" t="n">
        <v>6.55</v>
      </c>
      <c r="G7" s="18">
        <f>B7+MEDIAN(0,$B$4,Receita!$C$12)*C7+MEDIAN(0,$B$4-Receita!$C$12,Receita!$C$13-Receita!$C$12)*D7+MEDIAN(0,$B$4-Receita!$C$13,Receita!$C$14-Receita!$C$13)*E7+MAX(0,$B$4-Receita!$C$14)*F7</f>
        <v/>
      </c>
      <c r="H7" s="19">
        <f>G7*12</f>
        <v/>
      </c>
      <c r="I7" s="26">
        <f>IF($G$7=0,"",G7/$G$7-1)</f>
        <v/>
      </c>
    </row>
    <row r="8">
      <c r="A8" s="8" t="inlineStr">
        <is>
          <t>Base R$ 2.500</t>
        </is>
      </c>
      <c r="B8" s="29" t="n">
        <v>2500</v>
      </c>
      <c r="C8" s="12" t="n">
        <v>9</v>
      </c>
      <c r="D8" s="12" t="n">
        <v>7</v>
      </c>
      <c r="E8" s="12" t="n">
        <v>5</v>
      </c>
      <c r="F8" s="12" t="n">
        <v>3</v>
      </c>
      <c r="G8" s="19">
        <f>B8+MEDIAN(0,$B$4,Receita!$C$12)*C8+MEDIAN(0,$B$4-Receita!$C$12,Receita!$C$13-Receita!$C$12)*D8+MEDIAN(0,$B$4-Receita!$C$13,Receita!$C$14-Receita!$C$13)*E8+MAX(0,$B$4-Receita!$C$14)*F8</f>
        <v/>
      </c>
      <c r="H8" s="19">
        <f>G8*12</f>
        <v/>
      </c>
      <c r="I8" s="26">
        <f>IF($G$7=0,"",G8/$G$7-1)</f>
        <v/>
      </c>
    </row>
    <row r="9">
      <c r="A9" s="8" t="inlineStr">
        <is>
          <t>Base R$ 3.500</t>
        </is>
      </c>
      <c r="B9" s="29" t="n">
        <v>3500</v>
      </c>
      <c r="C9" s="12" t="n">
        <v>9</v>
      </c>
      <c r="D9" s="12" t="n">
        <v>7</v>
      </c>
      <c r="E9" s="12" t="n">
        <v>5</v>
      </c>
      <c r="F9" s="12" t="n">
        <v>3</v>
      </c>
      <c r="G9" s="19">
        <f>B9+MEDIAN(0,$B$4,Receita!$C$12)*C9+MEDIAN(0,$B$4-Receita!$C$12,Receita!$C$13-Receita!$C$12)*D9+MEDIAN(0,$B$4-Receita!$C$13,Receita!$C$14-Receita!$C$13)*E9+MAX(0,$B$4-Receita!$C$14)*F9</f>
        <v/>
      </c>
      <c r="H9" s="19">
        <f>G9*12</f>
        <v/>
      </c>
      <c r="I9" s="26">
        <f>IF($G$7=0,"",G9/$G$7-1)</f>
        <v/>
      </c>
    </row>
    <row r="10">
      <c r="A10" s="8" t="inlineStr">
        <is>
          <t>Faixas +25%</t>
        </is>
      </c>
      <c r="B10" s="29" t="n">
        <v>1200</v>
      </c>
      <c r="C10" s="12" t="n">
        <v>11.25</v>
      </c>
      <c r="D10" s="12" t="n">
        <v>8.75</v>
      </c>
      <c r="E10" s="12" t="n">
        <v>6.25</v>
      </c>
      <c r="F10" s="12" t="n">
        <v>3.75</v>
      </c>
      <c r="G10" s="19">
        <f>B10+MEDIAN(0,$B$4,Receita!$C$12)*C10+MEDIAN(0,$B$4-Receita!$C$12,Receita!$C$13-Receita!$C$12)*D10+MEDIAN(0,$B$4-Receita!$C$13,Receita!$C$14-Receita!$C$13)*E10+MAX(0,$B$4-Receita!$C$14)*F10</f>
        <v/>
      </c>
      <c r="H10" s="19">
        <f>G10*12</f>
        <v/>
      </c>
      <c r="I10" s="26">
        <f>IF($G$7=0,"",G10/$G$7-1)</f>
        <v/>
      </c>
    </row>
    <row r="11">
      <c r="A11" s="8" t="inlineStr">
        <is>
          <t>Faixas +40%</t>
        </is>
      </c>
      <c r="B11" s="29" t="n">
        <v>1200</v>
      </c>
      <c r="C11" s="12" t="n">
        <v>12.6</v>
      </c>
      <c r="D11" s="12" t="n">
        <v>9.800000000000001</v>
      </c>
      <c r="E11" s="12" t="n">
        <v>7</v>
      </c>
      <c r="F11" s="12" t="n">
        <v>4.2</v>
      </c>
      <c r="G11" s="19">
        <f>B11+MEDIAN(0,$B$4,Receita!$C$12)*C11+MEDIAN(0,$B$4-Receita!$C$12,Receita!$C$13-Receita!$C$12)*D11+MEDIAN(0,$B$4-Receita!$C$13,Receita!$C$14-Receita!$C$13)*E11+MAX(0,$B$4-Receita!$C$14)*F11</f>
        <v/>
      </c>
      <c r="H11" s="19">
        <f>G11*12</f>
        <v/>
      </c>
      <c r="I11" s="26">
        <f>IF($G$7=0,"",G11/$G$7-1)</f>
        <v/>
      </c>
    </row>
    <row r="12">
      <c r="A12" s="8" t="inlineStr">
        <is>
          <t>Base 2.500 + faixas +25%</t>
        </is>
      </c>
      <c r="B12" s="29" t="n">
        <v>2500</v>
      </c>
      <c r="C12" s="12" t="n">
        <v>11.25</v>
      </c>
      <c r="D12" s="12" t="n">
        <v>8.75</v>
      </c>
      <c r="E12" s="12" t="n">
        <v>6.25</v>
      </c>
      <c r="F12" s="12" t="n">
        <v>3.75</v>
      </c>
      <c r="G12" s="19">
        <f>B12+MEDIAN(0,$B$4,Receita!$C$12)*C12+MEDIAN(0,$B$4-Receita!$C$12,Receita!$C$13-Receita!$C$12)*D12+MEDIAN(0,$B$4-Receita!$C$13,Receita!$C$14-Receita!$C$13)*E12+MAX(0,$B$4-Receita!$C$14)*F12</f>
        <v/>
      </c>
      <c r="H12" s="19">
        <f>G12*12</f>
        <v/>
      </c>
      <c r="I12" s="26">
        <f>IF($G$7=0,"",G12/$G$7-1)</f>
        <v/>
      </c>
    </row>
    <row r="15">
      <c r="A15" s="7" t="inlineStr">
        <is>
          <t>A implantação não está aqui de propósito: ela é cobrança única e não muda a recorrência. Some na aba Receita, célula B17.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9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22" customWidth="1" min="2" max="2"/>
    <col width="18" customWidth="1" min="3" max="3"/>
    <col width="18" customWidth="1" min="4" max="4"/>
    <col width="18" customWidth="1" min="5" max="5"/>
    <col width="16" customWidth="1" min="6" max="6"/>
    <col width="18" customWidth="1" min="7" max="7"/>
    <col width="18" customWidth="1" min="8" max="8"/>
    <col width="30" customWidth="1" min="9" max="9"/>
  </cols>
  <sheetData>
    <row r="1">
      <c r="A1" s="5" t="inlineStr">
        <is>
          <t xml:space="preserve">  Concorrência — preencher com cotações reais</t>
        </is>
      </c>
      <c r="B1" s="6" t="n"/>
      <c r="C1" s="6" t="n"/>
      <c r="D1" s="6" t="n"/>
      <c r="E1" s="6" t="n"/>
      <c r="F1" s="6" t="n"/>
      <c r="G1" s="6" t="n"/>
      <c r="H1" s="6" t="n"/>
      <c r="I1" s="6" t="n"/>
    </row>
    <row r="2">
      <c r="A2" s="7" t="inlineStr">
        <is>
          <t>Nada aqui foi estimado. Preencha as células escuras com valores de propostas, tabelas públicas ou cotações recebidas — e anote a fonte e a data, porque preço sem procedência não sustenta argumento em reunião.</t>
        </is>
      </c>
    </row>
    <row r="4">
      <c r="A4" s="5" t="inlineStr">
        <is>
          <t xml:space="preserve">  Referência FROID (vem da aba Receita)</t>
        </is>
      </c>
      <c r="B4" s="6" t="n"/>
      <c r="C4" s="6" t="n"/>
      <c r="D4" s="6" t="n"/>
      <c r="E4" s="6" t="n"/>
      <c r="F4" s="6" t="n"/>
      <c r="G4" s="6" t="n"/>
      <c r="H4" s="6" t="n"/>
      <c r="I4" s="6" t="n"/>
    </row>
    <row r="5">
      <c r="A5" s="8" t="inlineStr">
        <is>
          <t>Efetivo simulado</t>
        </is>
      </c>
      <c r="B5" s="15">
        <f>Receita!B5</f>
        <v/>
      </c>
    </row>
    <row r="6">
      <c r="A6" s="8" t="inlineStr">
        <is>
          <t>Anual FROID (com desconto)</t>
        </is>
      </c>
      <c r="B6" s="19">
        <f>Receita!B31</f>
        <v/>
      </c>
    </row>
    <row r="7">
      <c r="A7" s="8" t="inlineStr">
        <is>
          <t>Implantação FROID</t>
        </is>
      </c>
      <c r="B7" s="19">
        <f>Receita!B17</f>
        <v/>
      </c>
    </row>
    <row r="8">
      <c r="A8" s="8" t="inlineStr">
        <is>
          <t>Ano 1 FROID (anual + implantação)</t>
        </is>
      </c>
      <c r="B8" s="18">
        <f>Receita!B32</f>
        <v/>
      </c>
    </row>
    <row r="9">
      <c r="A9" s="8" t="inlineStr">
        <is>
          <t>Campanhas/ano FROID</t>
        </is>
      </c>
      <c r="B9" s="15">
        <f>Receita!B35</f>
        <v/>
      </c>
    </row>
    <row r="10">
      <c r="A10" s="5" t="inlineStr">
        <is>
          <t xml:space="preserve">  Cotações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</row>
    <row r="11">
      <c r="A11" s="7" t="inlineStr">
        <is>
          <t>Preencha “Mensal recorrente” OU “Por campanha”, conforme o modelo da cotação. Se os dois estiverem preenchidos, o cálculo usa o mensal. “Campanhas/ano” em branco assume o mesmo número do FROID, para que a comparação seja sobre o mesmo ciclo.</t>
        </is>
      </c>
    </row>
    <row r="12" ht="42" customHeight="1">
      <c r="A12" s="30" t="inlineStr">
        <is>
          <t>Concorrente</t>
        </is>
      </c>
      <c r="B12" s="30" t="inlineStr">
        <is>
          <t>Modelo de cobrança</t>
        </is>
      </c>
      <c r="C12" s="30" t="inlineStr">
        <is>
          <t>Efetivo da cotação</t>
        </is>
      </c>
      <c r="D12" s="30" t="inlineStr">
        <is>
          <t>Implantação (única)</t>
        </is>
      </c>
      <c r="E12" s="30" t="inlineStr">
        <is>
          <t>Mensal recorrente</t>
        </is>
      </c>
      <c r="F12" s="30" t="inlineStr">
        <is>
          <t>Por campanha</t>
        </is>
      </c>
      <c r="G12" s="30" t="inlineStr">
        <is>
          <t>Campanhas/ano incluídas</t>
        </is>
      </c>
      <c r="H12" s="30" t="inlineStr">
        <is>
          <t>Prazo de entrega (dias)</t>
        </is>
      </c>
      <c r="I12" s="30" t="inlineStr">
        <is>
          <t>Fonte e data da informação</t>
        </is>
      </c>
    </row>
    <row r="13">
      <c r="A13" s="9" t="n"/>
      <c r="B13" s="9" t="n"/>
      <c r="C13" s="31" t="n"/>
      <c r="D13" s="29" t="n"/>
      <c r="E13" s="29" t="n"/>
      <c r="F13" s="29" t="n"/>
      <c r="G13" s="31" t="n"/>
      <c r="H13" s="31" t="n"/>
      <c r="I13" s="9" t="n"/>
    </row>
    <row r="14">
      <c r="A14" s="9" t="n"/>
      <c r="B14" s="9" t="n"/>
      <c r="C14" s="31" t="n"/>
      <c r="D14" s="29" t="n"/>
      <c r="E14" s="29" t="n"/>
      <c r="F14" s="29" t="n"/>
      <c r="G14" s="31" t="n"/>
      <c r="H14" s="31" t="n"/>
      <c r="I14" s="9" t="n"/>
    </row>
    <row r="15">
      <c r="A15" s="9" t="n"/>
      <c r="B15" s="9" t="n"/>
      <c r="C15" s="31" t="n"/>
      <c r="D15" s="29" t="n"/>
      <c r="E15" s="29" t="n"/>
      <c r="F15" s="29" t="n"/>
      <c r="G15" s="31" t="n"/>
      <c r="H15" s="31" t="n"/>
      <c r="I15" s="9" t="n"/>
    </row>
    <row r="16">
      <c r="A16" s="9" t="n"/>
      <c r="B16" s="9" t="n"/>
      <c r="C16" s="31" t="n"/>
      <c r="D16" s="29" t="n"/>
      <c r="E16" s="29" t="n"/>
      <c r="F16" s="29" t="n"/>
      <c r="G16" s="31" t="n"/>
      <c r="H16" s="31" t="n"/>
      <c r="I16" s="9" t="n"/>
    </row>
    <row r="17">
      <c r="A17" s="9" t="n"/>
      <c r="B17" s="9" t="n"/>
      <c r="C17" s="31" t="n"/>
      <c r="D17" s="29" t="n"/>
      <c r="E17" s="29" t="n"/>
      <c r="F17" s="29" t="n"/>
      <c r="G17" s="31" t="n"/>
      <c r="H17" s="31" t="n"/>
      <c r="I17" s="9" t="n"/>
    </row>
    <row r="18">
      <c r="A18" s="9" t="n"/>
      <c r="B18" s="9" t="n"/>
      <c r="C18" s="31" t="n"/>
      <c r="D18" s="29" t="n"/>
      <c r="E18" s="29" t="n"/>
      <c r="F18" s="29" t="n"/>
      <c r="G18" s="31" t="n"/>
      <c r="H18" s="31" t="n"/>
      <c r="I18" s="9" t="n"/>
    </row>
    <row r="20">
      <c r="A20" s="5" t="inlineStr">
        <is>
          <t xml:space="preserve">  Comparação — calculada a partir do que for preenchido</t>
        </is>
      </c>
      <c r="B20" s="6" t="n"/>
      <c r="C20" s="6" t="n"/>
      <c r="D20" s="6" t="n"/>
      <c r="E20" s="6" t="n"/>
      <c r="F20" s="6" t="n"/>
      <c r="G20" s="6" t="n"/>
      <c r="H20" s="6" t="n"/>
      <c r="I20" s="6" t="n"/>
    </row>
    <row r="21" ht="42" customHeight="1">
      <c r="A21" s="30" t="inlineStr">
        <is>
          <t>Concorrente</t>
        </is>
      </c>
      <c r="B21" s="30" t="inlineStr">
        <is>
          <t>Anual do concorrente</t>
        </is>
      </c>
      <c r="C21" s="30" t="inlineStr">
        <is>
          <t>Ano 1 do concorrente</t>
        </is>
      </c>
      <c r="D21" s="30" t="inlineStr">
        <is>
          <t>Por trabalhador / ano</t>
        </is>
      </c>
      <c r="E21" s="30" t="inlineStr">
        <is>
          <t>Por campanha</t>
        </is>
      </c>
      <c r="F21" s="30" t="inlineStr">
        <is>
          <t>Ano 1 vs FROID (R$)</t>
        </is>
      </c>
      <c r="G21" s="30" t="inlineStr">
        <is>
          <t>Ano 1 vs FROID (%)</t>
        </is>
      </c>
      <c r="H21" s="30" t="inlineStr">
        <is>
          <t>FROID está…</t>
        </is>
      </c>
      <c r="I21" s="30" t="inlineStr"/>
    </row>
    <row r="22">
      <c r="A22" s="25">
        <f>IF(A13="","",A13)</f>
        <v/>
      </c>
      <c r="B22" s="19">
        <f>IF(AND(E13="",F13=""),"",IF(E13&lt;&gt;"",E13*12,F13*IF(G13="",$B$9,G13)))</f>
        <v/>
      </c>
      <c r="C22" s="19">
        <f>IF(B22="","",B22+IF(D13="",0,D13))</f>
        <v/>
      </c>
      <c r="D22" s="16">
        <f>IF(OR(B22="",C13="",C13=0),"",B22/C13)</f>
        <v/>
      </c>
      <c r="E22" s="19">
        <f>IF(B22="","",B22/IF(G13="",$B$9,G13))</f>
        <v/>
      </c>
      <c r="F22" s="19">
        <f>IF(C22="","",$B$8-C22)</f>
        <v/>
      </c>
      <c r="G22" s="26">
        <f>IF(OR(C22="",C22=0),"",$B$8/C22-1)</f>
        <v/>
      </c>
      <c r="H22" s="27">
        <f>IF(G22="","",IF(G22&gt;0.05,"mais caro",IF(G22&lt;-0.05,"mais barato","equivalente")))</f>
        <v/>
      </c>
    </row>
    <row r="23">
      <c r="A23" s="25">
        <f>IF(A14="","",A14)</f>
        <v/>
      </c>
      <c r="B23" s="19">
        <f>IF(AND(E14="",F14=""),"",IF(E14&lt;&gt;"",E14*12,F14*IF(G14="",$B$9,G14)))</f>
        <v/>
      </c>
      <c r="C23" s="19">
        <f>IF(B23="","",B23+IF(D14="",0,D14))</f>
        <v/>
      </c>
      <c r="D23" s="16">
        <f>IF(OR(B23="",C14="",C14=0),"",B23/C14)</f>
        <v/>
      </c>
      <c r="E23" s="19">
        <f>IF(B23="","",B23/IF(G14="",$B$9,G14))</f>
        <v/>
      </c>
      <c r="F23" s="19">
        <f>IF(C23="","",$B$8-C23)</f>
        <v/>
      </c>
      <c r="G23" s="26">
        <f>IF(OR(C23="",C23=0),"",$B$8/C23-1)</f>
        <v/>
      </c>
      <c r="H23" s="27">
        <f>IF(G23="","",IF(G23&gt;0.05,"mais caro",IF(G23&lt;-0.05,"mais barato","equivalente")))</f>
        <v/>
      </c>
    </row>
    <row r="24">
      <c r="A24" s="25">
        <f>IF(A15="","",A15)</f>
        <v/>
      </c>
      <c r="B24" s="19">
        <f>IF(AND(E15="",F15=""),"",IF(E15&lt;&gt;"",E15*12,F15*IF(G15="",$B$9,G15)))</f>
        <v/>
      </c>
      <c r="C24" s="19">
        <f>IF(B24="","",B24+IF(D15="",0,D15))</f>
        <v/>
      </c>
      <c r="D24" s="16">
        <f>IF(OR(B24="",C15="",C15=0),"",B24/C15)</f>
        <v/>
      </c>
      <c r="E24" s="19">
        <f>IF(B24="","",B24/IF(G15="",$B$9,G15))</f>
        <v/>
      </c>
      <c r="F24" s="19">
        <f>IF(C24="","",$B$8-C24)</f>
        <v/>
      </c>
      <c r="G24" s="26">
        <f>IF(OR(C24="",C24=0),"",$B$8/C24-1)</f>
        <v/>
      </c>
      <c r="H24" s="27">
        <f>IF(G24="","",IF(G24&gt;0.05,"mais caro",IF(G24&lt;-0.05,"mais barato","equivalente")))</f>
        <v/>
      </c>
    </row>
    <row r="25">
      <c r="A25" s="25">
        <f>IF(A16="","",A16)</f>
        <v/>
      </c>
      <c r="B25" s="19">
        <f>IF(AND(E16="",F16=""),"",IF(E16&lt;&gt;"",E16*12,F16*IF(G16="",$B$9,G16)))</f>
        <v/>
      </c>
      <c r="C25" s="19">
        <f>IF(B25="","",B25+IF(D16="",0,D16))</f>
        <v/>
      </c>
      <c r="D25" s="16">
        <f>IF(OR(B25="",C16="",C16=0),"",B25/C16)</f>
        <v/>
      </c>
      <c r="E25" s="19">
        <f>IF(B25="","",B25/IF(G16="",$B$9,G16))</f>
        <v/>
      </c>
      <c r="F25" s="19">
        <f>IF(C25="","",$B$8-C25)</f>
        <v/>
      </c>
      <c r="G25" s="26">
        <f>IF(OR(C25="",C25=0),"",$B$8/C25-1)</f>
        <v/>
      </c>
      <c r="H25" s="27">
        <f>IF(G25="","",IF(G25&gt;0.05,"mais caro",IF(G25&lt;-0.05,"mais barato","equivalente")))</f>
        <v/>
      </c>
    </row>
    <row r="26">
      <c r="A26" s="25">
        <f>IF(A17="","",A17)</f>
        <v/>
      </c>
      <c r="B26" s="19">
        <f>IF(AND(E17="",F17=""),"",IF(E17&lt;&gt;"",E17*12,F17*IF(G17="",$B$9,G17)))</f>
        <v/>
      </c>
      <c r="C26" s="19">
        <f>IF(B26="","",B26+IF(D17="",0,D17))</f>
        <v/>
      </c>
      <c r="D26" s="16">
        <f>IF(OR(B26="",C17="",C17=0),"",B26/C17)</f>
        <v/>
      </c>
      <c r="E26" s="19">
        <f>IF(B26="","",B26/IF(G17="",$B$9,G17))</f>
        <v/>
      </c>
      <c r="F26" s="19">
        <f>IF(C26="","",$B$8-C26)</f>
        <v/>
      </c>
      <c r="G26" s="26">
        <f>IF(OR(C26="",C26=0),"",$B$8/C26-1)</f>
        <v/>
      </c>
      <c r="H26" s="27">
        <f>IF(G26="","",IF(G26&gt;0.05,"mais caro",IF(G26&lt;-0.05,"mais barato","equivalente")))</f>
        <v/>
      </c>
    </row>
    <row r="27">
      <c r="A27" s="25">
        <f>IF(A18="","",A18)</f>
        <v/>
      </c>
      <c r="B27" s="19">
        <f>IF(AND(E18="",F18=""),"",IF(E18&lt;&gt;"",E18*12,F18*IF(G18="",$B$9,G18)))</f>
        <v/>
      </c>
      <c r="C27" s="19">
        <f>IF(B27="","",B27+IF(D18="",0,D18))</f>
        <v/>
      </c>
      <c r="D27" s="16">
        <f>IF(OR(B27="",C18="",C18=0),"",B27/C18)</f>
        <v/>
      </c>
      <c r="E27" s="19">
        <f>IF(B27="","",B27/IF(G18="",$B$9,G18))</f>
        <v/>
      </c>
      <c r="F27" s="19">
        <f>IF(C27="","",$B$8-C27)</f>
        <v/>
      </c>
      <c r="G27" s="26">
        <f>IF(OR(C27="",C27=0),"",$B$8/C27-1)</f>
        <v/>
      </c>
      <c r="H27" s="27">
        <f>IF(G27="","",IF(G27&gt;0.05,"mais caro",IF(G27&lt;-0.05,"mais barato","equivalente")))</f>
        <v/>
      </c>
    </row>
    <row r="29" ht="32" customHeight="1">
      <c r="A29" s="21" t="inlineStr">
        <is>
          <t>Cuidado ao comparar: quase nenhum concorrente entrega prova de eficácia antes/depois nem piso de anonimato. Preço menor por um escopo menor não é preço menor — é outro produto. A matriz abaixo existe para não deixar isso passar.</t>
        </is>
      </c>
    </row>
    <row r="31">
      <c r="A31" s="5" t="inlineStr">
        <is>
          <t xml:space="preserve">  O que cada um entrega (preencher: sim / não / parcial)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</row>
    <row r="32">
      <c r="A32" s="32" t="inlineStr">
        <is>
          <t>Capacidade</t>
        </is>
      </c>
      <c r="B32" s="32" t="inlineStr">
        <is>
          <t>FROID</t>
        </is>
      </c>
      <c r="C32" s="20" t="inlineStr">
        <is>
          <t>Concorrente 1</t>
        </is>
      </c>
      <c r="D32" s="20" t="inlineStr">
        <is>
          <t>Concorrente 2</t>
        </is>
      </c>
      <c r="E32" s="20" t="inlineStr">
        <is>
          <t>Concorrente 3</t>
        </is>
      </c>
      <c r="F32" s="20" t="inlineStr">
        <is>
          <t>Concorrente 4</t>
        </is>
      </c>
      <c r="G32" s="20" t="inlineStr">
        <is>
          <t>Concorrente 5</t>
        </is>
      </c>
      <c r="H32" s="20" t="inlineStr">
        <is>
          <t>Concorrente 6</t>
        </is>
      </c>
    </row>
    <row r="33">
      <c r="A33" s="7" t="inlineStr">
        <is>
          <t>(nome da cotação)</t>
        </is>
      </c>
      <c r="C33" s="25">
        <f>IF(A13="","",A13)</f>
        <v/>
      </c>
      <c r="D33" s="25">
        <f>IF(A14="","",A14)</f>
        <v/>
      </c>
      <c r="E33" s="25">
        <f>IF(A15="","",A15)</f>
        <v/>
      </c>
      <c r="F33" s="25">
        <f>IF(A16="","",A16)</f>
        <v/>
      </c>
      <c r="G33" s="25">
        <f>IF(A17="","",A17)</f>
        <v/>
      </c>
      <c r="H33" s="25">
        <f>IF(A18="","",A18)</f>
        <v/>
      </c>
    </row>
    <row r="34">
      <c r="A34" s="33" t="inlineStr">
        <is>
          <t>Inventário com os nove campos (1.5.7.3.2)</t>
        </is>
      </c>
      <c r="B34" s="34" t="inlineStr">
        <is>
          <t>sim</t>
        </is>
      </c>
      <c r="C34" s="9" t="n"/>
      <c r="D34" s="9" t="n"/>
      <c r="E34" s="9" t="n"/>
      <c r="F34" s="9" t="n"/>
      <c r="G34" s="9" t="n"/>
      <c r="H34" s="9" t="n"/>
    </row>
    <row r="35">
      <c r="A35" s="33" t="inlineStr">
        <is>
          <t>AEP psicossocial</t>
        </is>
      </c>
      <c r="B35" s="34" t="inlineStr">
        <is>
          <t>sim</t>
        </is>
      </c>
      <c r="C35" s="9" t="n"/>
      <c r="D35" s="9" t="n"/>
      <c r="E35" s="9" t="n"/>
      <c r="F35" s="9" t="n"/>
      <c r="G35" s="9" t="n"/>
      <c r="H35" s="9" t="n"/>
    </row>
    <row r="36">
      <c r="A36" s="33" t="inlineStr">
        <is>
          <t>Gradação por severidade × probabilidade (1.5.4.4.4)</t>
        </is>
      </c>
      <c r="B36" s="34" t="inlineStr">
        <is>
          <t>sim</t>
        </is>
      </c>
      <c r="C36" s="9" t="n"/>
      <c r="D36" s="9" t="n"/>
      <c r="E36" s="9" t="n"/>
      <c r="F36" s="9" t="n"/>
      <c r="G36" s="9" t="n"/>
      <c r="H36" s="9" t="n"/>
    </row>
    <row r="37">
      <c r="A37" s="33" t="inlineStr">
        <is>
          <t>Probabilidade desconta eficácia medida (1.5.4.4.5.3)</t>
        </is>
      </c>
      <c r="B37" s="34" t="inlineStr">
        <is>
          <t>sim</t>
        </is>
      </c>
      <c r="C37" s="9" t="n"/>
      <c r="D37" s="9" t="n"/>
      <c r="E37" s="9" t="n"/>
      <c r="F37" s="9" t="n"/>
      <c r="G37" s="9" t="n"/>
      <c r="H37" s="9" t="n"/>
    </row>
    <row r="38">
      <c r="A38" s="33" t="inlineStr">
        <is>
          <t>Prova de eficácia antes/depois, setor contra si mesmo</t>
        </is>
      </c>
      <c r="B38" s="34" t="inlineStr">
        <is>
          <t>sim</t>
        </is>
      </c>
      <c r="C38" s="9" t="n"/>
      <c r="D38" s="9" t="n"/>
      <c r="E38" s="9" t="n"/>
      <c r="F38" s="9" t="n"/>
      <c r="G38" s="9" t="n"/>
      <c r="H38" s="9" t="n"/>
    </row>
    <row r="39">
      <c r="A39" s="33" t="inlineStr">
        <is>
          <t>Medida ineficaz não reduz risco no papel (1.5.5.3.2.1)</t>
        </is>
      </c>
      <c r="B39" s="34" t="inlineStr">
        <is>
          <t>sim</t>
        </is>
      </c>
      <c r="C39" s="9" t="n"/>
      <c r="D39" s="9" t="n"/>
      <c r="E39" s="9" t="n"/>
      <c r="F39" s="9" t="n"/>
      <c r="G39" s="9" t="n"/>
      <c r="H39" s="9" t="n"/>
    </row>
    <row r="40">
      <c r="A40" s="33" t="inlineStr">
        <is>
          <t>Piso de anonimato por recorte</t>
        </is>
      </c>
      <c r="B40" s="34" t="inlineStr">
        <is>
          <t>sim</t>
        </is>
      </c>
      <c r="C40" s="9" t="n"/>
      <c r="D40" s="9" t="n"/>
      <c r="E40" s="9" t="n"/>
      <c r="F40" s="9" t="n"/>
      <c r="G40" s="9" t="n"/>
      <c r="H40" s="9" t="n"/>
    </row>
    <row r="41">
      <c r="A41" s="33" t="inlineStr">
        <is>
          <t>Resultado só após encerrar a campanha</t>
        </is>
      </c>
      <c r="B41" s="34" t="inlineStr">
        <is>
          <t>sim</t>
        </is>
      </c>
      <c r="C41" s="9" t="n"/>
      <c r="D41" s="9" t="n"/>
      <c r="E41" s="9" t="n"/>
      <c r="F41" s="9" t="n"/>
      <c r="G41" s="9" t="n"/>
      <c r="H41" s="9" t="n"/>
    </row>
    <row r="42">
      <c r="A42" s="33" t="inlineStr">
        <is>
          <t>Recusa abrir campanha sem canal de apoio</t>
        </is>
      </c>
      <c r="B42" s="34" t="inlineStr">
        <is>
          <t>sim</t>
        </is>
      </c>
      <c r="C42" s="9" t="n"/>
      <c r="D42" s="9" t="n"/>
      <c r="E42" s="9" t="n"/>
      <c r="F42" s="9" t="n"/>
      <c r="G42" s="9" t="n"/>
      <c r="H42" s="9" t="n"/>
    </row>
    <row r="43">
      <c r="A43" s="33" t="inlineStr">
        <is>
          <t>Critérios de gradação alinhados ao PGR da empresa</t>
        </is>
      </c>
      <c r="B43" s="34" t="inlineStr">
        <is>
          <t>sim</t>
        </is>
      </c>
      <c r="C43" s="9" t="n"/>
      <c r="D43" s="9" t="n"/>
      <c r="E43" s="9" t="n"/>
      <c r="F43" s="9" t="n"/>
      <c r="G43" s="9" t="n"/>
      <c r="H43" s="9" t="n"/>
    </row>
    <row r="44">
      <c r="A44" s="33" t="inlineStr">
        <is>
          <t>Guarda do histórico por 20 anos (1.5.7.3.3.1)</t>
        </is>
      </c>
      <c r="B44" s="34" t="inlineStr">
        <is>
          <t>sim</t>
        </is>
      </c>
      <c r="C44" s="9" t="n"/>
      <c r="D44" s="9" t="n"/>
      <c r="E44" s="9" t="n"/>
      <c r="F44" s="9" t="n"/>
      <c r="G44" s="9" t="n"/>
      <c r="H44" s="9" t="n"/>
    </row>
    <row r="45">
      <c r="A45" s="33" t="inlineStr">
        <is>
          <t>Painel próprio, sem planilha intermediária</t>
        </is>
      </c>
      <c r="B45" s="34" t="inlineStr">
        <is>
          <t>sim</t>
        </is>
      </c>
      <c r="C45" s="9" t="n"/>
      <c r="D45" s="9" t="n"/>
      <c r="E45" s="9" t="n"/>
      <c r="F45" s="9" t="n"/>
      <c r="G45" s="9" t="n"/>
      <c r="H45" s="9" t="n"/>
    </row>
    <row r="46">
      <c r="A46" s="33" t="inlineStr">
        <is>
          <t>Base legal declarada (obrigação legal, não consentimento)</t>
        </is>
      </c>
      <c r="B46" s="34" t="inlineStr">
        <is>
          <t>sim</t>
        </is>
      </c>
      <c r="C46" s="9" t="n"/>
      <c r="D46" s="9" t="n"/>
      <c r="E46" s="9" t="n"/>
      <c r="F46" s="9" t="n"/>
      <c r="G46" s="9" t="n"/>
      <c r="H46" s="9" t="n"/>
    </row>
    <row r="47">
      <c r="A47" s="33" t="inlineStr">
        <is>
          <t>Não entrega resposta individual a ninguém</t>
        </is>
      </c>
      <c r="B47" s="34" t="inlineStr">
        <is>
          <t>sim</t>
        </is>
      </c>
      <c r="C47" s="9" t="n"/>
      <c r="D47" s="9" t="n"/>
      <c r="E47" s="9" t="n"/>
      <c r="F47" s="9" t="n"/>
      <c r="G47" s="9" t="n"/>
      <c r="H47" s="9" t="n"/>
    </row>
    <row r="49">
      <c r="A49" s="7" t="inlineStr">
        <is>
          <t>A coluna FROID reflete o que está implementado no produto hoje. Se alguma linha deixar de ser verdade, corrija aqui antes de usar a matriz com um cliente.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2026-09-05T07:22:21Z</dcterms:created>
  <dcterms:modified xmlns:dcterms="http://purl.org/dc/terms/" xmlns:xsi="http://www.w3.org/2001/XMLSchema-instance" xsi:type="dcterms:W3CDTF">2026-09-24T15:37:00Z</dcterms:modified>
</cp:coreProperties>
</file>