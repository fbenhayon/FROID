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 primeiro" sheetId="1" state="visible" r:id="rId1"/>
    <sheet name="Receita" sheetId="2" state="visible" r:id="rId2"/>
    <sheet name="Cenários" sheetId="3" state="visible" r:id="rId3"/>
    <sheet name="Anonimato" sheetId="4" state="visible" r:id="rId4"/>
    <sheet name="Alavanc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R$ #,##0.00"/>
    <numFmt numFmtId="166" formatCode="R$ #,##0"/>
  </numFmts>
  <fonts count="12">
    <font>
      <name val="Calibri"/>
      <family val="2"/>
      <color theme="1"/>
      <sz val="11"/>
      <scheme val="minor"/>
    </font>
    <font>
      <b val="1"/>
      <sz val="15"/>
    </font>
    <font>
      <sz val="10"/>
    </font>
    <font>
      <b val="1"/>
      <color rgb="00F8FAFC"/>
      <sz val="11"/>
    </font>
    <font>
      <i val="1"/>
      <color rgb="00FCD34D"/>
    </font>
    <font>
      <b val="1"/>
      <color rgb="00F8FAFC"/>
      <sz val="12"/>
    </font>
    <font>
      <i val="1"/>
      <color rgb="0094A3B8"/>
      <sz val="9"/>
    </font>
    <font>
      <b val="1"/>
    </font>
    <font>
      <b val="1"/>
      <color rgb="00F8FAFC"/>
    </font>
    <font>
      <i val="1"/>
      <color rgb="0094A3B8"/>
    </font>
    <font>
      <b val="1"/>
      <color rgb="00FCD34D"/>
    </font>
    <font>
      <i val="1"/>
      <color rgb="00FCD34D"/>
      <sz val="9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451A03"/>
      </patternFill>
    </fill>
    <fill>
      <patternFill patternType="solid">
        <fgColor rgb="000C4A6E"/>
      </patternFill>
    </fill>
    <fill>
      <patternFill patternType="solid">
        <fgColor rgb="00334155"/>
      </patternFill>
    </fill>
  </fills>
  <borders count="2">
    <border>
      <left/>
      <right/>
      <top/>
      <bottom/>
      <diagonal/>
    </border>
    <border>
      <left style="thin">
        <color rgb="00334155"/>
      </left>
      <right style="thin">
        <color rgb="00334155"/>
      </right>
      <top style="thin">
        <color rgb="00334155"/>
      </top>
      <bottom style="thin">
        <color rgb="00334155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1" pivotButton="0" quotePrefix="0" xfId="0"/>
    <xf numFmtId="0" fontId="8" fillId="4" borderId="1" pivotButton="0" quotePrefix="0" xfId="0"/>
    <xf numFmtId="164" fontId="8" fillId="4" borderId="1" pivotButton="0" quotePrefix="0" xfId="0"/>
    <xf numFmtId="0" fontId="8" fillId="5" borderId="0" pivotButton="0" quotePrefix="0" xfId="0"/>
    <xf numFmtId="165" fontId="8" fillId="4" borderId="1" pivotButton="0" quotePrefix="0" xfId="0"/>
    <xf numFmtId="0" fontId="9" fillId="0" borderId="0" pivotButton="0" quotePrefix="0" xfId="0"/>
    <xf numFmtId="0" fontId="8" fillId="5" borderId="0" applyAlignment="1" pivotButton="0" quotePrefix="0" xfId="0">
      <alignment wrapText="1"/>
    </xf>
    <xf numFmtId="1" fontId="0" fillId="0" borderId="1" pivotButton="0" quotePrefix="0" xfId="0"/>
    <xf numFmtId="165" fontId="0" fillId="0" borderId="1" pivotButton="0" quotePrefix="0" xfId="0"/>
    <xf numFmtId="165" fontId="10" fillId="3" borderId="1" pivotButton="0" quotePrefix="0" xfId="0"/>
    <xf numFmtId="166" fontId="10" fillId="3" borderId="1" pivotButton="0" quotePrefix="0" xfId="0"/>
    <xf numFmtId="166" fontId="0" fillId="0" borderId="1" pivotButton="0" quotePrefix="0" xfId="0"/>
    <xf numFmtId="0" fontId="8" fillId="5" borderId="0" applyAlignment="1" pivotButton="0" quotePrefix="0" xfId="0">
      <alignment horizontal="center" wrapText="1"/>
    </xf>
    <xf numFmtId="0" fontId="11" fillId="3" borderId="0" pivotButton="0" quotePrefix="0" xfId="0"/>
    <xf numFmtId="0" fontId="7" fillId="0" borderId="0" pivotButton="0" quotePrefix="0" xfId="0"/>
    <xf numFmtId="164" fontId="7" fillId="0" borderId="0" pivotButton="0" quotePrefix="0" xfId="0"/>
    <xf numFmtId="164" fontId="1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3" borderId="1" pivotButton="0" quotePrefix="0" xfId="0"/>
    <xf numFmtId="0" fontId="11" fillId="0" borderId="0" pivotButton="0" quotePrefix="0" xfId="0"/>
    <xf numFmtId="166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0"/>
  <sheetViews>
    <sheetView showGridLines="0" workbookViewId="0">
      <selection activeCell="A1" sqref="A1"/>
    </sheetView>
  </sheetViews>
  <sheetFormatPr baseColWidth="8" defaultRowHeight="15"/>
  <cols>
    <col width="108" customWidth="1" min="1" max="1"/>
  </cols>
  <sheetData>
    <row r="2">
      <c r="A2" s="1" t="inlineStr">
        <is>
          <t>FROID NR-1 — simulador comercial</t>
        </is>
      </c>
    </row>
    <row r="3" ht="30" customHeight="1">
      <c r="A3" s="2" t="inlineStr"/>
    </row>
    <row r="4" ht="30" customHeight="1">
      <c r="A4" s="2" t="inlineStr">
        <is>
          <t>Células de fundo escuro são ENTRADAS. Todo o resto é fórmula e recalcula sozinho.</t>
        </is>
      </c>
    </row>
    <row r="5" ht="30" customHeight="1">
      <c r="A5" s="2" t="inlineStr"/>
    </row>
    <row r="6">
      <c r="A6" s="3" t="inlineStr">
        <is>
          <t>Receita</t>
        </is>
      </c>
    </row>
    <row r="7" ht="30" customHeight="1">
      <c r="A7" s="2" t="inlineStr">
        <is>
          <t>A conta de uma proposta. Efetivo, unidades, desconto e a tabela de preços de um lado; fatura decomposta faixa a faixa do outro.</t>
        </is>
      </c>
    </row>
    <row r="8" ht="30" customHeight="1">
      <c r="A8" s="2" t="inlineStr">
        <is>
          <t>Unidade é ESTABELECIMENTO, não departamento. Cinco setores no mesmo endereço são uma base, não cinco. Errar isso multiplica a fatura.</t>
        </is>
      </c>
    </row>
    <row r="9" ht="30" customHeight="1">
      <c r="A9" s="2" t="inlineStr"/>
    </row>
    <row r="10">
      <c r="A10" s="3" t="inlineStr">
        <is>
          <t>Cenários</t>
        </is>
      </c>
    </row>
    <row r="11" ht="30" customHeight="1">
      <c r="A11" s="2" t="inlineStr">
        <is>
          <t>A mesma tabela aplicada a doze efetivos. Serve para ver onde o preço por trabalhador cai e onde o contrato fica pequeno demais para o trabalho que dá.</t>
        </is>
      </c>
    </row>
    <row r="12" ht="30" customHeight="1">
      <c r="A12" s="2" t="inlineStr"/>
    </row>
    <row r="13">
      <c r="A13" s="3" t="inlineStr">
        <is>
          <t>Anonimato</t>
        </is>
      </c>
    </row>
    <row r="14" ht="30" customHeight="1">
      <c r="A14" s="2" t="inlineStr">
        <is>
          <t>A parte que preço nenhum resolve. Diz quantas respostas cada setor precisa para aparecer no relatório.</t>
        </is>
      </c>
    </row>
    <row r="15" ht="30" customHeight="1">
      <c r="A15" s="2" t="inlineStr">
        <is>
          <t>Os pisos vêm do banco e não são negociáveis comercialmente. Um recorte suprimido é o piso funcionando, não defeito — mas isso precisa estar combinado ANTES do contrato.</t>
        </is>
      </c>
    </row>
    <row r="16" ht="30" customHeight="1">
      <c r="A16" s="2" t="inlineStr"/>
    </row>
    <row r="17">
      <c r="A17" s="3" t="inlineStr">
        <is>
          <t>Alavancas</t>
        </is>
      </c>
    </row>
    <row r="18" ht="30" customHeight="1">
      <c r="A18" s="2" t="inlineStr">
        <is>
          <t>Compara a tabela vigente com cenários de reajuste. Não altera nada: é só para decidir.</t>
        </is>
      </c>
    </row>
    <row r="19" ht="30" customHeight="1">
      <c r="A19" s="2" t="inlineStr"/>
    </row>
    <row r="20" ht="58" customHeight="1">
      <c r="A20" s="4" t="inlineStr">
        <is>
          <t>O que esta planilha NÃO faz: não estima custo, não tem margem e não conhece preço de concorrente. É receita bruta. Enquanto o custo de operar uma campanha não estiver medido, ela mostra quanto entra — não quanto sobra.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34" customWidth="1" min="4" max="4"/>
    <col width="14" customWidth="1" min="5" max="5"/>
    <col width="14" customWidth="1" min="6" max="6"/>
    <col width="14" customWidth="1" min="7" max="7"/>
  </cols>
  <sheetData>
    <row r="1">
      <c r="A1" s="5" t="inlineStr">
        <is>
          <t xml:space="preserve">  FROID NR-1 — simulador de receita</t>
        </is>
      </c>
      <c r="B1" s="6" t="n"/>
      <c r="C1" s="6" t="n"/>
      <c r="D1" s="6" t="n"/>
      <c r="E1" s="6" t="n"/>
      <c r="F1" s="6" t="n"/>
      <c r="G1" s="6" t="n"/>
    </row>
    <row r="2">
      <c r="A2" s="7" t="inlineStr">
        <is>
          <t>Células escuras são entradas: mude e o resto recalcula. As faixas são cumulativas e incidem sobre o efetivo total.</t>
        </is>
      </c>
    </row>
    <row r="4">
      <c r="A4" s="5" t="inlineStr">
        <is>
          <t xml:space="preserve">  Cliente</t>
        </is>
      </c>
      <c r="B4" s="6" t="n"/>
      <c r="C4" s="6" t="n"/>
      <c r="D4" s="6" t="n"/>
      <c r="E4" s="6" t="n"/>
      <c r="F4" s="6" t="n"/>
      <c r="G4" s="6" t="n"/>
    </row>
    <row r="5">
      <c r="A5" s="8" t="inlineStr">
        <is>
          <t>Trabalhadores (efetivo total)</t>
        </is>
      </c>
      <c r="B5" s="9" t="n">
        <v>300</v>
      </c>
    </row>
    <row r="6">
      <c r="A6" s="8" t="inlineStr">
        <is>
          <t>Unidades (estabelecimentos)</t>
        </is>
      </c>
      <c r="B6" s="9" t="n">
        <v>1</v>
      </c>
      <c r="C6" s="7" t="inlineStr">
        <is>
          <t>departamento no mesmo endereço NÃO é unidade</t>
        </is>
      </c>
    </row>
    <row r="7">
      <c r="A7" s="8" t="inlineStr">
        <is>
          <t>Desconto aplicado</t>
        </is>
      </c>
      <c r="B7" s="10" t="n">
        <v>0.15</v>
      </c>
    </row>
    <row r="9">
      <c r="A9" s="5" t="inlineStr">
        <is>
          <t xml:space="preserve">  Tabela de preços</t>
        </is>
      </c>
      <c r="B9" s="6" t="n"/>
      <c r="C9" s="6" t="n"/>
      <c r="D9" s="6" t="n"/>
      <c r="E9" s="6" t="n"/>
      <c r="F9" s="6" t="n"/>
      <c r="G9" s="6" t="n"/>
    </row>
    <row r="10">
      <c r="A10" s="11" t="inlineStr">
        <is>
          <t>Componente</t>
        </is>
      </c>
      <c r="B10" s="11" t="inlineStr">
        <is>
          <t>Valor</t>
        </is>
      </c>
      <c r="C10" s="11" t="inlineStr">
        <is>
          <t>Até</t>
        </is>
      </c>
    </row>
    <row r="11">
      <c r="A11" s="8" t="inlineStr">
        <is>
          <t>Base por unidade / mês</t>
        </is>
      </c>
      <c r="B11" s="12" t="n">
        <v>1200</v>
      </c>
    </row>
    <row r="12">
      <c r="A12" s="8" t="inlineStr">
        <is>
          <t>Faixa 1 — por trabalhador / mês</t>
        </is>
      </c>
      <c r="B12" s="12" t="n">
        <v>9</v>
      </c>
      <c r="C12" s="9" t="n">
        <v>100</v>
      </c>
    </row>
    <row r="13">
      <c r="A13" s="8" t="inlineStr">
        <is>
          <t>Faixa 2 — por trabalhador / mês</t>
        </is>
      </c>
      <c r="B13" s="12" t="n">
        <v>7</v>
      </c>
      <c r="C13" s="9" t="n">
        <v>300</v>
      </c>
    </row>
    <row r="14">
      <c r="A14" s="8" t="inlineStr">
        <is>
          <t>Faixa 3 — por trabalhador / mês</t>
        </is>
      </c>
      <c r="B14" s="12" t="n">
        <v>5</v>
      </c>
      <c r="C14" s="9" t="n">
        <v>1000</v>
      </c>
    </row>
    <row r="15">
      <c r="A15" s="8" t="inlineStr">
        <is>
          <t>Faixa 4 — por trabalhador / mês</t>
        </is>
      </c>
      <c r="B15" s="12" t="n">
        <v>3</v>
      </c>
      <c r="C15" s="13" t="inlineStr">
        <is>
          <t>acima</t>
        </is>
      </c>
    </row>
    <row r="17">
      <c r="A17" s="8" t="inlineStr">
        <is>
          <t>Implantação (cobrança única)</t>
        </is>
      </c>
      <c r="B17" s="12" t="n">
        <v>0</v>
      </c>
      <c r="C17" s="7" t="inlineStr">
        <is>
          <t>hoje em branco na proposta</t>
        </is>
      </c>
    </row>
    <row r="19">
      <c r="A19" s="5" t="inlineStr">
        <is>
          <t xml:space="preserve">  Decomposição da fatura mensal</t>
        </is>
      </c>
      <c r="B19" s="6" t="n"/>
      <c r="C19" s="6" t="n"/>
      <c r="D19" s="6" t="n"/>
      <c r="E19" s="6" t="n"/>
      <c r="F19" s="6" t="n"/>
      <c r="G19" s="6" t="n"/>
    </row>
    <row r="20">
      <c r="A20" s="14" t="inlineStr">
        <is>
          <t>Componente</t>
        </is>
      </c>
      <c r="B20" s="14" t="inlineStr">
        <is>
          <t>Trabalhadores na faixa</t>
        </is>
      </c>
      <c r="C20" s="14" t="inlineStr">
        <is>
          <t>Subtotal / mês</t>
        </is>
      </c>
    </row>
    <row r="21">
      <c r="A21" s="8" t="inlineStr">
        <is>
          <t>Base da plataforma</t>
        </is>
      </c>
      <c r="B21" s="15">
        <f>B6</f>
        <v/>
      </c>
      <c r="C21" s="16">
        <f>B6*B11</f>
        <v/>
      </c>
    </row>
    <row r="22">
      <c r="A22" s="8" t="inlineStr">
        <is>
          <t>Faixa 1 (1 a 100)</t>
        </is>
      </c>
      <c r="B22" s="15">
        <f>MEDIAN(0,$B$5,$C$12)</f>
        <v/>
      </c>
      <c r="C22" s="16">
        <f>B22*B12</f>
        <v/>
      </c>
    </row>
    <row r="23">
      <c r="A23" s="8" t="inlineStr">
        <is>
          <t>Faixa 2 (101 a 300)</t>
        </is>
      </c>
      <c r="B23" s="15">
        <f>MEDIAN(0,$B$5-$C$12,$C$13-$C$12)</f>
        <v/>
      </c>
      <c r="C23" s="16">
        <f>B23*B13</f>
        <v/>
      </c>
    </row>
    <row r="24">
      <c r="A24" s="8" t="inlineStr">
        <is>
          <t>Faixa 3 (301 a 1.000)</t>
        </is>
      </c>
      <c r="B24" s="15">
        <f>MEDIAN(0,$B$5-$C$13,$C$14-$C$13)</f>
        <v/>
      </c>
      <c r="C24" s="16">
        <f>B24*B14</f>
        <v/>
      </c>
    </row>
    <row r="25">
      <c r="A25" s="8" t="inlineStr">
        <is>
          <t>Faixa 4 (acima de 1.000)</t>
        </is>
      </c>
      <c r="B25" s="15">
        <f>MAX(0,$B$5-$C$14)</f>
        <v/>
      </c>
      <c r="C25" s="16">
        <f>B25*B15</f>
        <v/>
      </c>
    </row>
    <row r="26">
      <c r="A26" s="8" t="inlineStr">
        <is>
          <t>Confere: soma das faixas</t>
        </is>
      </c>
      <c r="B26" s="15">
        <f>SUM(B22:B25)</f>
        <v/>
      </c>
      <c r="C26" s="7" t="inlineStr">
        <is>
          <t>deve igualar o efetivo</t>
        </is>
      </c>
    </row>
    <row r="28">
      <c r="A28" s="5" t="inlineStr">
        <is>
          <t xml:space="preserve">  Resultado</t>
        </is>
      </c>
      <c r="B28" s="6" t="n"/>
      <c r="C28" s="6" t="n"/>
      <c r="D28" s="6" t="n"/>
      <c r="E28" s="6" t="n"/>
      <c r="F28" s="6" t="n"/>
      <c r="G28" s="6" t="n"/>
    </row>
    <row r="29">
      <c r="A29" s="8" t="inlineStr">
        <is>
          <t>Mensal — tabela cheia</t>
        </is>
      </c>
      <c r="B29" s="16">
        <f>SUM(C21:C25)</f>
        <v/>
      </c>
    </row>
    <row r="30">
      <c r="A30" s="8" t="inlineStr">
        <is>
          <t>Mensal — com desconto</t>
        </is>
      </c>
      <c r="B30" s="17">
        <f>B29*(1-B7)</f>
        <v/>
      </c>
    </row>
    <row r="31">
      <c r="A31" s="8" t="inlineStr">
        <is>
          <t>Anual — com desconto</t>
        </is>
      </c>
      <c r="B31" s="18">
        <f>B30*12</f>
        <v/>
      </c>
    </row>
    <row r="32">
      <c r="A32" s="8" t="inlineStr">
        <is>
          <t>Ano 1 — anual + implantação</t>
        </is>
      </c>
      <c r="B32" s="18">
        <f>B31+B17</f>
        <v/>
      </c>
    </row>
    <row r="33">
      <c r="A33" s="8" t="inlineStr">
        <is>
          <t>Por trabalhador / ano</t>
        </is>
      </c>
      <c r="B33" s="16">
        <f>IF(B5=0,"",B31/B5)</f>
        <v/>
      </c>
    </row>
    <row r="34">
      <c r="A34" s="8" t="inlineStr">
        <is>
          <t>Por trabalhador / mês</t>
        </is>
      </c>
      <c r="B34" s="16">
        <f>IF(B5=0,"",B30/B5)</f>
        <v/>
      </c>
    </row>
    <row r="35">
      <c r="A35" s="8" t="inlineStr">
        <is>
          <t>Campanhas por ano</t>
        </is>
      </c>
      <c r="B35" s="9" t="n">
        <v>2</v>
      </c>
      <c r="D35" s="7" t="inlineStr">
        <is>
          <t>linha de base + verificação de eficácia</t>
        </is>
      </c>
    </row>
    <row r="36">
      <c r="A36" s="8" t="inlineStr">
        <is>
          <t>Receita por campanha</t>
        </is>
      </c>
      <c r="B36" s="19">
        <f>IF(B35=0,"",B31/B35)</f>
        <v/>
      </c>
    </row>
    <row r="37">
      <c r="A37" s="7" t="inlineStr">
        <is>
          <t>É esse número que o cliente compara com um orçamento de consultoria. Vale saber qual é antes da reunião.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5" t="inlineStr">
        <is>
          <t xml:space="preserve">  Mesma tabela, efetivos diferentes</t>
        </is>
      </c>
      <c r="B1" s="6" t="n"/>
      <c r="C1" s="6" t="n"/>
      <c r="D1" s="6" t="n"/>
      <c r="E1" s="6" t="n"/>
      <c r="F1" s="6" t="n"/>
    </row>
    <row r="2">
      <c r="A2" s="7" t="inlineStr">
        <is>
          <t>Usa a tabela de preços da aba Receita. Mude lá e esta recalcula. Unidades fixadas em 1.</t>
        </is>
      </c>
    </row>
    <row r="4">
      <c r="A4" s="20" t="inlineStr">
        <is>
          <t>Trabalhadores</t>
        </is>
      </c>
      <c r="B4" s="20" t="inlineStr">
        <is>
          <t>Mensal</t>
        </is>
      </c>
      <c r="C4" s="20" t="inlineStr">
        <is>
          <t>Anual</t>
        </is>
      </c>
      <c r="D4" s="20" t="inlineStr">
        <is>
          <t>Por trab./ano</t>
        </is>
      </c>
      <c r="E4" s="20" t="inlineStr">
        <is>
          <t>Por trab./mês</t>
        </is>
      </c>
      <c r="F4" s="20" t="inlineStr">
        <is>
          <t>Receita/campanha</t>
        </is>
      </c>
    </row>
    <row r="5">
      <c r="A5" s="9" t="n">
        <v>50</v>
      </c>
      <c r="B5" s="19">
        <f>Receita!$B$11+MEDIAN(0,A5,Receita!$C$12)*Receita!$B$12+MEDIAN(0,A5-Receita!$C$12,Receita!$C$13-Receita!$C$12)*Receita!$B$13+MEDIAN(0,A5-Receita!$C$13,Receita!$C$14-Receita!$C$13)*Receita!$B$14+MAX(0,A5-Receita!$C$14)*Receita!$B$15</f>
        <v/>
      </c>
      <c r="C5" s="19">
        <f>B5*12</f>
        <v/>
      </c>
      <c r="D5" s="16">
        <f>C5/A5</f>
        <v/>
      </c>
      <c r="E5" s="16">
        <f>B5/A5</f>
        <v/>
      </c>
      <c r="F5" s="19">
        <f>IF(Receita!$B$35=0,"",C5/Receita!$B$35)</f>
        <v/>
      </c>
    </row>
    <row r="6">
      <c r="A6" s="9" t="n">
        <v>75</v>
      </c>
      <c r="B6" s="19">
        <f>Receita!$B$11+MEDIAN(0,A6,Receita!$C$12)*Receita!$B$12+MEDIAN(0,A6-Receita!$C$12,Receita!$C$13-Receita!$C$12)*Receita!$B$13+MEDIAN(0,A6-Receita!$C$13,Receita!$C$14-Receita!$C$13)*Receita!$B$14+MAX(0,A6-Receita!$C$14)*Receita!$B$15</f>
        <v/>
      </c>
      <c r="C6" s="19">
        <f>B6*12</f>
        <v/>
      </c>
      <c r="D6" s="16">
        <f>C6/A6</f>
        <v/>
      </c>
      <c r="E6" s="16">
        <f>B6/A6</f>
        <v/>
      </c>
      <c r="F6" s="19">
        <f>IF(Receita!$B$35=0,"",C6/Receita!$B$35)</f>
        <v/>
      </c>
    </row>
    <row r="7">
      <c r="A7" s="9" t="n">
        <v>100</v>
      </c>
      <c r="B7" s="19">
        <f>Receita!$B$11+MEDIAN(0,A7,Receita!$C$12)*Receita!$B$12+MEDIAN(0,A7-Receita!$C$12,Receita!$C$13-Receita!$C$12)*Receita!$B$13+MEDIAN(0,A7-Receita!$C$13,Receita!$C$14-Receita!$C$13)*Receita!$B$14+MAX(0,A7-Receita!$C$14)*Receita!$B$15</f>
        <v/>
      </c>
      <c r="C7" s="19">
        <f>B7*12</f>
        <v/>
      </c>
      <c r="D7" s="16">
        <f>C7/A7</f>
        <v/>
      </c>
      <c r="E7" s="16">
        <f>B7/A7</f>
        <v/>
      </c>
      <c r="F7" s="19">
        <f>IF(Receita!$B$35=0,"",C7/Receita!$B$35)</f>
        <v/>
      </c>
    </row>
    <row r="8">
      <c r="A8" s="9" t="n">
        <v>150</v>
      </c>
      <c r="B8" s="19">
        <f>Receita!$B$11+MEDIAN(0,A8,Receita!$C$12)*Receita!$B$12+MEDIAN(0,A8-Receita!$C$12,Receita!$C$13-Receita!$C$12)*Receita!$B$13+MEDIAN(0,A8-Receita!$C$13,Receita!$C$14-Receita!$C$13)*Receita!$B$14+MAX(0,A8-Receita!$C$14)*Receita!$B$15</f>
        <v/>
      </c>
      <c r="C8" s="19">
        <f>B8*12</f>
        <v/>
      </c>
      <c r="D8" s="16">
        <f>C8/A8</f>
        <v/>
      </c>
      <c r="E8" s="16">
        <f>B8/A8</f>
        <v/>
      </c>
      <c r="F8" s="19">
        <f>IF(Receita!$B$35=0,"",C8/Receita!$B$35)</f>
        <v/>
      </c>
    </row>
    <row r="9">
      <c r="A9" s="9" t="n">
        <v>200</v>
      </c>
      <c r="B9" s="19">
        <f>Receita!$B$11+MEDIAN(0,A9,Receita!$C$12)*Receita!$B$12+MEDIAN(0,A9-Receita!$C$12,Receita!$C$13-Receita!$C$12)*Receita!$B$13+MEDIAN(0,A9-Receita!$C$13,Receita!$C$14-Receita!$C$13)*Receita!$B$14+MAX(0,A9-Receita!$C$14)*Receita!$B$15</f>
        <v/>
      </c>
      <c r="C9" s="19">
        <f>B9*12</f>
        <v/>
      </c>
      <c r="D9" s="16">
        <f>C9/A9</f>
        <v/>
      </c>
      <c r="E9" s="16">
        <f>B9/A9</f>
        <v/>
      </c>
      <c r="F9" s="19">
        <f>IF(Receita!$B$35=0,"",C9/Receita!$B$35)</f>
        <v/>
      </c>
    </row>
    <row r="10">
      <c r="A10" s="9" t="n">
        <v>300</v>
      </c>
      <c r="B10" s="19">
        <f>Receita!$B$11+MEDIAN(0,A10,Receita!$C$12)*Receita!$B$12+MEDIAN(0,A10-Receita!$C$12,Receita!$C$13-Receita!$C$12)*Receita!$B$13+MEDIAN(0,A10-Receita!$C$13,Receita!$C$14-Receita!$C$13)*Receita!$B$14+MAX(0,A10-Receita!$C$14)*Receita!$B$15</f>
        <v/>
      </c>
      <c r="C10" s="19">
        <f>B10*12</f>
        <v/>
      </c>
      <c r="D10" s="16">
        <f>C10/A10</f>
        <v/>
      </c>
      <c r="E10" s="16">
        <f>B10/A10</f>
        <v/>
      </c>
      <c r="F10" s="19">
        <f>IF(Receita!$B$35=0,"",C10/Receita!$B$35)</f>
        <v/>
      </c>
    </row>
    <row r="11">
      <c r="A11" s="9" t="n">
        <v>500</v>
      </c>
      <c r="B11" s="19">
        <f>Receita!$B$11+MEDIAN(0,A11,Receita!$C$12)*Receita!$B$12+MEDIAN(0,A11-Receita!$C$12,Receita!$C$13-Receita!$C$12)*Receita!$B$13+MEDIAN(0,A11-Receita!$C$13,Receita!$C$14-Receita!$C$13)*Receita!$B$14+MAX(0,A11-Receita!$C$14)*Receita!$B$15</f>
        <v/>
      </c>
      <c r="C11" s="19">
        <f>B11*12</f>
        <v/>
      </c>
      <c r="D11" s="16">
        <f>C11/A11</f>
        <v/>
      </c>
      <c r="E11" s="16">
        <f>B11/A11</f>
        <v/>
      </c>
      <c r="F11" s="19">
        <f>IF(Receita!$B$35=0,"",C11/Receita!$B$35)</f>
        <v/>
      </c>
    </row>
    <row r="12">
      <c r="A12" s="9" t="n">
        <v>750</v>
      </c>
      <c r="B12" s="19">
        <f>Receita!$B$11+MEDIAN(0,A12,Receita!$C$12)*Receita!$B$12+MEDIAN(0,A12-Receita!$C$12,Receita!$C$13-Receita!$C$12)*Receita!$B$13+MEDIAN(0,A12-Receita!$C$13,Receita!$C$14-Receita!$C$13)*Receita!$B$14+MAX(0,A12-Receita!$C$14)*Receita!$B$15</f>
        <v/>
      </c>
      <c r="C12" s="19">
        <f>B12*12</f>
        <v/>
      </c>
      <c r="D12" s="16">
        <f>C12/A12</f>
        <v/>
      </c>
      <c r="E12" s="16">
        <f>B12/A12</f>
        <v/>
      </c>
      <c r="F12" s="19">
        <f>IF(Receita!$B$35=0,"",C12/Receita!$B$35)</f>
        <v/>
      </c>
    </row>
    <row r="13">
      <c r="A13" s="9" t="n">
        <v>1000</v>
      </c>
      <c r="B13" s="19">
        <f>Receita!$B$11+MEDIAN(0,A13,Receita!$C$12)*Receita!$B$12+MEDIAN(0,A13-Receita!$C$12,Receita!$C$13-Receita!$C$12)*Receita!$B$13+MEDIAN(0,A13-Receita!$C$13,Receita!$C$14-Receita!$C$13)*Receita!$B$14+MAX(0,A13-Receita!$C$14)*Receita!$B$15</f>
        <v/>
      </c>
      <c r="C13" s="19">
        <f>B13*12</f>
        <v/>
      </c>
      <c r="D13" s="16">
        <f>C13/A13</f>
        <v/>
      </c>
      <c r="E13" s="16">
        <f>B13/A13</f>
        <v/>
      </c>
      <c r="F13" s="19">
        <f>IF(Receita!$B$35=0,"",C13/Receita!$B$35)</f>
        <v/>
      </c>
    </row>
    <row r="14">
      <c r="A14" s="9" t="n">
        <v>1500</v>
      </c>
      <c r="B14" s="19">
        <f>Receita!$B$11+MEDIAN(0,A14,Receita!$C$12)*Receita!$B$12+MEDIAN(0,A14-Receita!$C$12,Receita!$C$13-Receita!$C$12)*Receita!$B$13+MEDIAN(0,A14-Receita!$C$13,Receita!$C$14-Receita!$C$13)*Receita!$B$14+MAX(0,A14-Receita!$C$14)*Receita!$B$15</f>
        <v/>
      </c>
      <c r="C14" s="19">
        <f>B14*12</f>
        <v/>
      </c>
      <c r="D14" s="16">
        <f>C14/A14</f>
        <v/>
      </c>
      <c r="E14" s="16">
        <f>B14/A14</f>
        <v/>
      </c>
      <c r="F14" s="19">
        <f>IF(Receita!$B$35=0,"",C14/Receita!$B$35)</f>
        <v/>
      </c>
    </row>
    <row r="15">
      <c r="A15" s="9" t="n">
        <v>3000</v>
      </c>
      <c r="B15" s="19">
        <f>Receita!$B$11+MEDIAN(0,A15,Receita!$C$12)*Receita!$B$12+MEDIAN(0,A15-Receita!$C$12,Receita!$C$13-Receita!$C$12)*Receita!$B$13+MEDIAN(0,A15-Receita!$C$13,Receita!$C$14-Receita!$C$13)*Receita!$B$14+MAX(0,A15-Receita!$C$14)*Receita!$B$15</f>
        <v/>
      </c>
      <c r="C15" s="19">
        <f>B15*12</f>
        <v/>
      </c>
      <c r="D15" s="16">
        <f>C15/A15</f>
        <v/>
      </c>
      <c r="E15" s="16">
        <f>B15/A15</f>
        <v/>
      </c>
      <c r="F15" s="19">
        <f>IF(Receita!$B$35=0,"",C15/Receita!$B$35)</f>
        <v/>
      </c>
    </row>
    <row r="16">
      <c r="A16" s="9" t="n">
        <v>5000</v>
      </c>
      <c r="B16" s="19">
        <f>Receita!$B$11+MEDIAN(0,A16,Receita!$C$12)*Receita!$B$12+MEDIAN(0,A16-Receita!$C$12,Receita!$C$13-Receita!$C$12)*Receita!$B$13+MEDIAN(0,A16-Receita!$C$13,Receita!$C$14-Receita!$C$13)*Receita!$B$14+MAX(0,A16-Receita!$C$14)*Receita!$B$15</f>
        <v/>
      </c>
      <c r="C16" s="19">
        <f>B16*12</f>
        <v/>
      </c>
      <c r="D16" s="16">
        <f>C16/A16</f>
        <v/>
      </c>
      <c r="E16" s="16">
        <f>B16/A16</f>
        <v/>
      </c>
      <c r="F16" s="19">
        <f>IF(Receita!$B$35=0,"",C16/Receita!$B$35)</f>
        <v/>
      </c>
    </row>
    <row r="18">
      <c r="A18" s="21" t="inlineStr">
        <is>
          <t>Os efetivos de 50 e 75 estão aqui de propósito: abaixo de cerca de 75 a campanha não atinge o piso de anonimato e não produz resultado liberável. Ver a aba Anonimato antes de propor.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22" customWidth="1" min="3" max="3"/>
    <col width="20" customWidth="1" min="4" max="4"/>
    <col width="22" customWidth="1" min="5" max="5"/>
    <col width="12" customWidth="1" min="6" max="6"/>
  </cols>
  <sheetData>
    <row r="1">
      <c r="A1" s="5" t="inlineStr">
        <is>
          <t xml:space="preserve">  Quantas respostas para o resultado sair</t>
        </is>
      </c>
      <c r="B1" s="6" t="n"/>
      <c r="C1" s="6" t="n"/>
      <c r="D1" s="6" t="n"/>
      <c r="E1" s="6" t="n"/>
      <c r="F1" s="6" t="n"/>
    </row>
    <row r="2">
      <c r="A2" s="7" t="inlineStr">
        <is>
          <t>Os pisos NÃO são configuráveis comercialmente: estão no banco e existem para proteger o trabalhador. Esta aba diz o que a adesão precisa ser, não o contrário.</t>
        </is>
      </c>
    </row>
    <row r="4">
      <c r="A4" s="5" t="inlineStr">
        <is>
          <t xml:space="preserve">  Pisos do sistema</t>
        </is>
      </c>
      <c r="B4" s="6" t="n"/>
      <c r="C4" s="6" t="n"/>
      <c r="D4" s="6" t="n"/>
      <c r="E4" s="6" t="n"/>
      <c r="F4" s="6" t="n"/>
    </row>
    <row r="5">
      <c r="A5" s="8" t="inlineStr">
        <is>
          <t>Piso da campanha (respostas substantivas)</t>
        </is>
      </c>
      <c r="B5" s="22" t="n">
        <v>50</v>
      </c>
      <c r="D5" s="7" t="inlineStr">
        <is>
          <t>froid_nr1_min_cohort_total()</t>
        </is>
      </c>
    </row>
    <row r="6">
      <c r="A6" s="8" t="inlineStr">
        <is>
          <t>Piso por recorte (setor / unidade)</t>
        </is>
      </c>
      <c r="B6" s="22" t="n">
        <v>10</v>
      </c>
      <c r="D6" s="7" t="inlineStr">
        <is>
          <t>froid_nr1_min_cohort_cut()</t>
        </is>
      </c>
    </row>
    <row r="7">
      <c r="A7" s="8" t="inlineStr">
        <is>
          <t>Cobertura mínima para a resposta contar</t>
        </is>
      </c>
      <c r="B7" s="23" t="n">
        <v>0.5</v>
      </c>
      <c r="D7" s="7" t="inlineStr">
        <is>
          <t>das dimensões do instrumento</t>
        </is>
      </c>
    </row>
    <row r="9">
      <c r="A9" s="5" t="inlineStr">
        <is>
          <t xml:space="preserve">  Adesão esperada</t>
        </is>
      </c>
      <c r="B9" s="6" t="n"/>
      <c r="C9" s="6" t="n"/>
      <c r="D9" s="6" t="n"/>
      <c r="E9" s="6" t="n"/>
      <c r="F9" s="6" t="n"/>
    </row>
    <row r="10">
      <c r="A10" s="8" t="inlineStr">
        <is>
          <t>Adesão (respondem)</t>
        </is>
      </c>
      <c r="B10" s="10" t="n">
        <v>0.7</v>
      </c>
    </row>
    <row r="11">
      <c r="A11" s="8" t="inlineStr">
        <is>
          <t>Dos que respondem, quantos completam o suficiente</t>
        </is>
      </c>
      <c r="B11" s="10" t="n">
        <v>0.85</v>
      </c>
    </row>
    <row r="12">
      <c r="A12" s="8" t="inlineStr">
        <is>
          <t>Taxa efetiva (substantivas / convidados)</t>
        </is>
      </c>
      <c r="B12" s="24">
        <f>B10*B11</f>
        <v/>
      </c>
    </row>
    <row r="14">
      <c r="A14" s="5" t="inlineStr">
        <is>
          <t xml:space="preserve">  Departamentos</t>
        </is>
      </c>
      <c r="B14" s="6" t="n"/>
      <c r="C14" s="6" t="n"/>
      <c r="D14" s="6" t="n"/>
      <c r="E14" s="6" t="n"/>
      <c r="F14" s="6" t="n"/>
    </row>
    <row r="15">
      <c r="A15" s="20" t="inlineStr">
        <is>
          <t>Departamento</t>
        </is>
      </c>
      <c r="B15" s="20" t="inlineStr">
        <is>
          <t>Efetivo</t>
        </is>
      </c>
      <c r="C15" s="20" t="inlineStr">
        <is>
          <t>Respostas substantivas previstas</t>
        </is>
      </c>
      <c r="D15" s="20" t="inlineStr">
        <is>
          <t>Publica?</t>
        </is>
      </c>
      <c r="E15" s="20" t="inlineStr">
        <is>
          <t>Adesão mínima para publicar</t>
        </is>
      </c>
      <c r="F15" s="20" t="inlineStr">
        <is>
          <t>Folga</t>
        </is>
      </c>
    </row>
    <row r="16">
      <c r="A16" s="9" t="inlineStr">
        <is>
          <t>Operações</t>
        </is>
      </c>
      <c r="B16" s="9" t="n">
        <v>120</v>
      </c>
      <c r="C16" s="15">
        <f>ROUND(B16*$B$12,0)</f>
        <v/>
      </c>
      <c r="D16" s="25">
        <f>IF(C16&gt;=$B$6,"sim","SUPRIMIDO")</f>
        <v/>
      </c>
      <c r="E16" s="26">
        <f>IF(B16=0,"",$B$6/B16/$B$11)</f>
        <v/>
      </c>
      <c r="F16" s="15">
        <f>C16-$B$6</f>
        <v/>
      </c>
    </row>
    <row r="17">
      <c r="A17" s="9" t="inlineStr">
        <is>
          <t>Comercial</t>
        </is>
      </c>
      <c r="B17" s="9" t="n">
        <v>80</v>
      </c>
      <c r="C17" s="15">
        <f>ROUND(B17*$B$12,0)</f>
        <v/>
      </c>
      <c r="D17" s="25">
        <f>IF(C17&gt;=$B$6,"sim","SUPRIMIDO")</f>
        <v/>
      </c>
      <c r="E17" s="26">
        <f>IF(B17=0,"",$B$6/B17/$B$11)</f>
        <v/>
      </c>
      <c r="F17" s="15">
        <f>C17-$B$6</f>
        <v/>
      </c>
    </row>
    <row r="18">
      <c r="A18" s="9" t="inlineStr">
        <is>
          <t>Administrativo</t>
        </is>
      </c>
      <c r="B18" s="9" t="n">
        <v>50</v>
      </c>
      <c r="C18" s="15">
        <f>ROUND(B18*$B$12,0)</f>
        <v/>
      </c>
      <c r="D18" s="25">
        <f>IF(C18&gt;=$B$6,"sim","SUPRIMIDO")</f>
        <v/>
      </c>
      <c r="E18" s="26">
        <f>IF(B18=0,"",$B$6/B18/$B$11)</f>
        <v/>
      </c>
      <c r="F18" s="15">
        <f>C18-$B$6</f>
        <v/>
      </c>
    </row>
    <row r="19">
      <c r="A19" s="9" t="inlineStr">
        <is>
          <t>Logística</t>
        </is>
      </c>
      <c r="B19" s="9" t="n">
        <v>30</v>
      </c>
      <c r="C19" s="15">
        <f>ROUND(B19*$B$12,0)</f>
        <v/>
      </c>
      <c r="D19" s="25">
        <f>IF(C19&gt;=$B$6,"sim","SUPRIMIDO")</f>
        <v/>
      </c>
      <c r="E19" s="26">
        <f>IF(B19=0,"",$B$6/B19/$B$11)</f>
        <v/>
      </c>
      <c r="F19" s="15">
        <f>C19-$B$6</f>
        <v/>
      </c>
    </row>
    <row r="20">
      <c r="A20" s="9" t="inlineStr">
        <is>
          <t>Diretoria</t>
        </is>
      </c>
      <c r="B20" s="9" t="n">
        <v>20</v>
      </c>
      <c r="C20" s="15">
        <f>ROUND(B20*$B$12,0)</f>
        <v/>
      </c>
      <c r="D20" s="25">
        <f>IF(C20&gt;=$B$6,"sim","SUPRIMIDO")</f>
        <v/>
      </c>
      <c r="E20" s="26">
        <f>IF(B20=0,"",$B$6/B20/$B$11)</f>
        <v/>
      </c>
      <c r="F20" s="15">
        <f>C20-$B$6</f>
        <v/>
      </c>
    </row>
    <row r="21">
      <c r="A21" s="8" t="inlineStr">
        <is>
          <t>Total da campanha</t>
        </is>
      </c>
      <c r="B21" s="15">
        <f>SUM(B16:B20)</f>
        <v/>
      </c>
      <c r="C21" s="15">
        <f>SUM(C16:C20)</f>
        <v/>
      </c>
      <c r="D21" s="27">
        <f>IF(C21&gt;=$B$5,"campanha liberada","ABAIXO DO PISO")</f>
        <v/>
      </c>
    </row>
    <row r="23">
      <c r="A23" s="28" t="inlineStr">
        <is>
          <t>O menor departamento é quem manda. Um setor de 20 pessoas precisa de metade dele respondendo para existir no relatório — e é sobre esse setor que o cliente vai perguntar na reunião.</t>
        </is>
      </c>
    </row>
    <row r="25">
      <c r="A25" s="7" t="inlineStr">
        <is>
          <t>Recorte suprimido não é falha do FROID: é o piso de anonimato funcionando. Combinar isso ANTES do contrato evita a conversa ruim depois da campanha encerrada.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  <col width="16" customWidth="1" min="8" max="8"/>
    <col width="12" customWidth="1" min="9" max="9"/>
  </cols>
  <sheetData>
    <row r="1">
      <c r="A1" s="5" t="inlineStr">
        <is>
          <t xml:space="preserve">  E se a tabela mudasse?</t>
        </is>
      </c>
      <c r="B1" s="6" t="n"/>
      <c r="C1" s="6" t="n"/>
      <c r="D1" s="6" t="n"/>
      <c r="E1" s="6" t="n"/>
      <c r="F1" s="6" t="n"/>
      <c r="G1" s="6" t="n"/>
    </row>
    <row r="2">
      <c r="A2" s="7" t="inlineStr">
        <is>
          <t>Compara a tabela vigente com cenários de reajuste, no efetivo informado na aba Receita. Nada aqui altera a tabela real.</t>
        </is>
      </c>
    </row>
    <row r="4">
      <c r="A4" s="8" t="inlineStr">
        <is>
          <t>Efetivo simulado</t>
        </is>
      </c>
      <c r="B4" s="15">
        <f>Receita!B5</f>
        <v/>
      </c>
    </row>
    <row r="6">
      <c r="A6" s="20" t="inlineStr">
        <is>
          <t>Cenário</t>
        </is>
      </c>
      <c r="B6" s="20" t="inlineStr">
        <is>
          <t>Base/mês</t>
        </is>
      </c>
      <c r="C6" s="20" t="inlineStr">
        <is>
          <t>Faixa 1</t>
        </is>
      </c>
      <c r="D6" s="20" t="inlineStr">
        <is>
          <t>Faixa 2</t>
        </is>
      </c>
      <c r="E6" s="20" t="inlineStr">
        <is>
          <t>Faixa 3</t>
        </is>
      </c>
      <c r="F6" s="20" t="inlineStr">
        <is>
          <t>Faixa 4</t>
        </is>
      </c>
      <c r="G6" s="20" t="inlineStr">
        <is>
          <t>Mensal</t>
        </is>
      </c>
      <c r="H6" s="20" t="inlineStr">
        <is>
          <t>Anual</t>
        </is>
      </c>
      <c r="I6" s="20" t="inlineStr">
        <is>
          <t>Variação</t>
        </is>
      </c>
    </row>
    <row r="7">
      <c r="A7" s="8" t="inlineStr">
        <is>
          <t>Vigente</t>
        </is>
      </c>
      <c r="B7" s="29" t="n">
        <v>1200</v>
      </c>
      <c r="C7" s="12" t="n">
        <v>9</v>
      </c>
      <c r="D7" s="12" t="n">
        <v>7</v>
      </c>
      <c r="E7" s="12" t="n">
        <v>5</v>
      </c>
      <c r="F7" s="12" t="n">
        <v>3</v>
      </c>
      <c r="G7" s="18">
        <f>B7+MEDIAN(0,$B$4,Receita!$C$12)*C7+MEDIAN(0,$B$4-Receita!$C$12,Receita!$C$13-Receita!$C$12)*D7+MEDIAN(0,$B$4-Receita!$C$13,Receita!$C$14-Receita!$C$13)*E7+MAX(0,$B$4-Receita!$C$14)*F7</f>
        <v/>
      </c>
      <c r="H7" s="19">
        <f>G7*12</f>
        <v/>
      </c>
      <c r="I7" s="26">
        <f>IF($G$7=0,"",G7/$G$7-1)</f>
        <v/>
      </c>
    </row>
    <row r="8">
      <c r="A8" s="8" t="inlineStr">
        <is>
          <t>Base R$ 2.500</t>
        </is>
      </c>
      <c r="B8" s="29" t="n">
        <v>2500</v>
      </c>
      <c r="C8" s="12" t="n">
        <v>9</v>
      </c>
      <c r="D8" s="12" t="n">
        <v>7</v>
      </c>
      <c r="E8" s="12" t="n">
        <v>5</v>
      </c>
      <c r="F8" s="12" t="n">
        <v>3</v>
      </c>
      <c r="G8" s="19">
        <f>B8+MEDIAN(0,$B$4,Receita!$C$12)*C8+MEDIAN(0,$B$4-Receita!$C$12,Receita!$C$13-Receita!$C$12)*D8+MEDIAN(0,$B$4-Receita!$C$13,Receita!$C$14-Receita!$C$13)*E8+MAX(0,$B$4-Receita!$C$14)*F8</f>
        <v/>
      </c>
      <c r="H8" s="19">
        <f>G8*12</f>
        <v/>
      </c>
      <c r="I8" s="26">
        <f>IF($G$7=0,"",G8/$G$7-1)</f>
        <v/>
      </c>
    </row>
    <row r="9">
      <c r="A9" s="8" t="inlineStr">
        <is>
          <t>Base R$ 3.500</t>
        </is>
      </c>
      <c r="B9" s="29" t="n">
        <v>3500</v>
      </c>
      <c r="C9" s="12" t="n">
        <v>9</v>
      </c>
      <c r="D9" s="12" t="n">
        <v>7</v>
      </c>
      <c r="E9" s="12" t="n">
        <v>5</v>
      </c>
      <c r="F9" s="12" t="n">
        <v>3</v>
      </c>
      <c r="G9" s="19">
        <f>B9+MEDIAN(0,$B$4,Receita!$C$12)*C9+MEDIAN(0,$B$4-Receita!$C$12,Receita!$C$13-Receita!$C$12)*D9+MEDIAN(0,$B$4-Receita!$C$13,Receita!$C$14-Receita!$C$13)*E9+MAX(0,$B$4-Receita!$C$14)*F9</f>
        <v/>
      </c>
      <c r="H9" s="19">
        <f>G9*12</f>
        <v/>
      </c>
      <c r="I9" s="26">
        <f>IF($G$7=0,"",G9/$G$7-1)</f>
        <v/>
      </c>
    </row>
    <row r="10">
      <c r="A10" s="8" t="inlineStr">
        <is>
          <t>Faixas +25%</t>
        </is>
      </c>
      <c r="B10" s="29" t="n">
        <v>1200</v>
      </c>
      <c r="C10" s="12" t="n">
        <v>11.25</v>
      </c>
      <c r="D10" s="12" t="n">
        <v>8.75</v>
      </c>
      <c r="E10" s="12" t="n">
        <v>6.25</v>
      </c>
      <c r="F10" s="12" t="n">
        <v>3.75</v>
      </c>
      <c r="G10" s="19">
        <f>B10+MEDIAN(0,$B$4,Receita!$C$12)*C10+MEDIAN(0,$B$4-Receita!$C$12,Receita!$C$13-Receita!$C$12)*D10+MEDIAN(0,$B$4-Receita!$C$13,Receita!$C$14-Receita!$C$13)*E10+MAX(0,$B$4-Receita!$C$14)*F10</f>
        <v/>
      </c>
      <c r="H10" s="19">
        <f>G10*12</f>
        <v/>
      </c>
      <c r="I10" s="26">
        <f>IF($G$7=0,"",G10/$G$7-1)</f>
        <v/>
      </c>
    </row>
    <row r="11">
      <c r="A11" s="8" t="inlineStr">
        <is>
          <t>Faixas +40%</t>
        </is>
      </c>
      <c r="B11" s="29" t="n">
        <v>1200</v>
      </c>
      <c r="C11" s="12" t="n">
        <v>12.6</v>
      </c>
      <c r="D11" s="12" t="n">
        <v>9.800000000000001</v>
      </c>
      <c r="E11" s="12" t="n">
        <v>7</v>
      </c>
      <c r="F11" s="12" t="n">
        <v>4.2</v>
      </c>
      <c r="G11" s="19">
        <f>B11+MEDIAN(0,$B$4,Receita!$C$12)*C11+MEDIAN(0,$B$4-Receita!$C$12,Receita!$C$13-Receita!$C$12)*D11+MEDIAN(0,$B$4-Receita!$C$13,Receita!$C$14-Receita!$C$13)*E11+MAX(0,$B$4-Receita!$C$14)*F11</f>
        <v/>
      </c>
      <c r="H11" s="19">
        <f>G11*12</f>
        <v/>
      </c>
      <c r="I11" s="26">
        <f>IF($G$7=0,"",G11/$G$7-1)</f>
        <v/>
      </c>
    </row>
    <row r="12">
      <c r="A12" s="8" t="inlineStr">
        <is>
          <t>Base 2.500 + faixas +25%</t>
        </is>
      </c>
      <c r="B12" s="29" t="n">
        <v>2500</v>
      </c>
      <c r="C12" s="12" t="n">
        <v>11.25</v>
      </c>
      <c r="D12" s="12" t="n">
        <v>8.75</v>
      </c>
      <c r="E12" s="12" t="n">
        <v>6.25</v>
      </c>
      <c r="F12" s="12" t="n">
        <v>3.75</v>
      </c>
      <c r="G12" s="19">
        <f>B12+MEDIAN(0,$B$4,Receita!$C$12)*C12+MEDIAN(0,$B$4-Receita!$C$12,Receita!$C$13-Receita!$C$12)*D12+MEDIAN(0,$B$4-Receita!$C$13,Receita!$C$14-Receita!$C$13)*E12+MAX(0,$B$4-Receita!$C$14)*F12</f>
        <v/>
      </c>
      <c r="H12" s="19">
        <f>G12*12</f>
        <v/>
      </c>
      <c r="I12" s="26">
        <f>IF($G$7=0,"",G12/$G$7-1)</f>
        <v/>
      </c>
    </row>
    <row r="15">
      <c r="A15" s="7" t="inlineStr">
        <is>
          <t>A implantação não está aqui de propósito: ela é cobrança única e não muda a recorrência. Some na aba Receita, célula B17.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2026-08-07T01:59:38Z</dcterms:created>
  <dcterms:modified xsi:type="dcterms:W3CDTF">2026-08-07T01:59:38Z</dcterms:modified>
</cp:coreProperties>
</file>