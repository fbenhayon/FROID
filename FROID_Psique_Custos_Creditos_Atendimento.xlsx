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Referencias" sheetId="3" state="visible" r:id="rId3"/>
    <sheet xmlns:r="http://schemas.openxmlformats.org/officeDocument/2006/relationships" name="IA" sheetId="4" state="visible" r:id="rId4"/>
    <sheet xmlns:r="http://schemas.openxmlformats.org/officeDocument/2006/relationships" name="Fixos" sheetId="5" state="visible" r:id="rId5"/>
    <sheet xmlns:r="http://schemas.openxmlformats.org/officeDocument/2006/relationships" name="Variaveis" sheetId="6" state="visible" r:id="rId6"/>
    <sheet xmlns:r="http://schemas.openxmlformats.org/officeDocument/2006/relationships" name="Resultado" sheetId="7" state="visible" r:id="rId7"/>
    <sheet xmlns:r="http://schemas.openxmlformats.org/officeDocument/2006/relationships" name="Pacotes" sheetId="8" state="visible" r:id="rId8"/>
    <sheet xmlns:r="http://schemas.openxmlformats.org/officeDocument/2006/relationships" name="Cenarios" sheetId="9" state="visible" r:id="rId9"/>
  </sheets>
  <definedNames>
    <definedName name="_xlnm.Print_Titles" localSheetId="0">'Guia'!$1:$5</definedName>
    <definedName name="_xlnm.Print_Titles" localSheetId="1">'Premissas'!$1:$5</definedName>
    <definedName name="_xlnm.Print_Titles" localSheetId="2">'Referencias'!$1:$5</definedName>
    <definedName name="_xlnm.Print_Titles" localSheetId="3">'IA'!$1:$5</definedName>
    <definedName name="_xlnm._FilterDatabase" localSheetId="4" hidden="1">'Fixos'!$A$5:$H$33</definedName>
    <definedName name="_xlnm.Print_Titles" localSheetId="4">'Fixos'!$1:$5</definedName>
    <definedName name="_xlnm._FilterDatabase" localSheetId="5" hidden="1">'Variaveis'!$A$5:$F$14</definedName>
    <definedName name="_xlnm.Print_Titles" localSheetId="5">'Variaveis'!$1:$5</definedName>
    <definedName name="_xlnm.Print_Titles" localSheetId="6">'Resultado'!$1:$5</definedName>
    <definedName name="_xlnm.Print_Titles" localSheetId="7">'Pacotes'!$1:$5</definedName>
    <definedName name="_xlnm.Print_Titles" localSheetId="8">'Cenarios'!$1:$5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&quot;R$&quot; #,##0.00;[Red]-&quot;R$&quot; #,##0.00;&quot;R$&quot; 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42B49"/>
      <sz val="10"/>
    </font>
    <font>
      <b val="1"/>
      <color rgb="00FFFFFF"/>
    </font>
    <font>
      <name val="Calibri"/>
      <color rgb="00142B49"/>
      <sz val="11"/>
    </font>
  </fonts>
  <fills count="7">
    <fill>
      <patternFill/>
    </fill>
    <fill>
      <patternFill patternType="gray125"/>
    </fill>
    <fill>
      <patternFill patternType="solid">
        <fgColor rgb="00142B49"/>
      </patternFill>
    </fill>
    <fill>
      <patternFill patternType="solid">
        <fgColor rgb="00EDF2F7"/>
      </patternFill>
    </fill>
    <fill>
      <patternFill patternType="solid">
        <fgColor rgb="00DBEAFE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164" fontId="4" fillId="5" borderId="0" applyAlignment="1" pivotButton="0" quotePrefix="0" xfId="0">
      <alignment vertical="center" wrapText="1"/>
    </xf>
    <xf numFmtId="1" fontId="4" fillId="6" borderId="0" applyAlignment="1" pivotButton="0" quotePrefix="0" xfId="0">
      <alignment vertical="center" wrapText="1"/>
    </xf>
    <xf numFmtId="165" fontId="4" fillId="5" borderId="0" applyAlignment="1" pivotButton="0" quotePrefix="0" xfId="0">
      <alignment vertical="center" wrapText="1"/>
    </xf>
    <xf numFmtId="10" fontId="4" fillId="5" borderId="0" applyAlignment="1" pivotButton="0" quotePrefix="0" xfId="0">
      <alignment vertical="center" wrapText="1"/>
    </xf>
    <xf numFmtId="10" fontId="4" fillId="4" borderId="0" applyAlignment="1" pivotButton="0" quotePrefix="0" xfId="0">
      <alignment vertical="center" wrapText="1"/>
    </xf>
    <xf numFmtId="164" fontId="4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164" fontId="4" fillId="6" borderId="0" applyAlignment="1" pivotButton="0" quotePrefix="0" xfId="0">
      <alignment vertical="center" wrapText="1"/>
    </xf>
    <xf numFmtId="165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10" fontId="4" fillId="6" borderId="0" applyAlignment="1" pivotButton="0" quotePrefix="0" xfId="0">
      <alignment vertical="center" wrapText="1"/>
    </xf>
    <xf numFmtId="165" fontId="4" fillId="4" borderId="0" applyAlignment="1" pivotButton="0" quotePrefix="0" xfId="0">
      <alignment vertical="center" wrapText="1"/>
    </xf>
    <xf numFmtId="1" fontId="4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evelopers.openai.com/api/docs/pricing" TargetMode="External" Id="rId1"/><Relationship Type="http://schemas.openxmlformats.org/officeDocument/2006/relationships/hyperlink" Target="https://developers.openai.com/api/docs/models/gpt-4o-mini" TargetMode="External" Id="rId2"/><Relationship Type="http://schemas.openxmlformats.org/officeDocument/2006/relationships/hyperlink" Target="https://developers.openai.com/api/docs/models/gpt-4o-mini" TargetMode="External" Id="rId3"/><Relationship Type="http://schemas.openxmlformats.org/officeDocument/2006/relationships/hyperlink" Target="https://developers.openai.com/api/docs/models/gpt-4o-mini" TargetMode="External" Id="rId4"/><Relationship Type="http://schemas.openxmlformats.org/officeDocument/2006/relationships/hyperlink" Target="https://developers.openai.com/api/docs/models/text-embedding-3-small" TargetMode="External" Id="rId5"/><Relationship Type="http://schemas.openxmlformats.org/officeDocument/2006/relationships/hyperlink" Target="https://ai.google.dev/gemini-api/docs/pricing" TargetMode="External" Id="rId6"/><Relationship Type="http://schemas.openxmlformats.org/officeDocument/2006/relationships/hyperlink" Target="https://ai.google.dev/gemini-api/docs/pricing" TargetMode="External" Id="rId7"/><Relationship Type="http://schemas.openxmlformats.org/officeDocument/2006/relationships/hyperlink" Target="https://stripe.com/br/pricing" TargetMode="External" Id="rId8"/><Relationship Type="http://schemas.openxmlformats.org/officeDocument/2006/relationships/hyperlink" Target="https://stripe.com/br/pricing" TargetMode="External" Id="rId9"/><Relationship Type="http://schemas.openxmlformats.org/officeDocument/2006/relationships/hyperlink" Target="https://stripe.com/br/pricing" TargetMode="External" Id="rId10"/><Relationship Type="http://schemas.openxmlformats.org/officeDocument/2006/relationships/hyperlink" Target="https://stripe.com/br/pricing" TargetMode="External" Id="rId11"/><Relationship Type="http://schemas.openxmlformats.org/officeDocument/2006/relationships/hyperlink" Target="https://stripe.com/br/pricing" TargetMode="External" Id="rId12"/><Relationship Type="http://schemas.openxmlformats.org/officeDocument/2006/relationships/hyperlink" Target="https://stripe.com/br/pricing" TargetMode="External" Id="rId13"/><Relationship Type="http://schemas.openxmlformats.org/officeDocument/2006/relationships/hyperlink" Target="https://stripe.com/br/pricing" TargetMode="External" Id="rId14"/></Relationships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B22"/>
  <ns0:sheetViews>
    <ns0:sheetView showGridLines="0"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30" customWidth="1" min="1" max="1"/>
    <ns0:col width="115" customWidth="1" min="2" max="2"/>
  </ns0:cols>
  <ns0:sheetData>
    <ns0:row r="1" ht="42" customHeight="1">
      <ns0:c r="A1" s="1" t="inlineStr">
        <ns0:is>
          <ns0:t>FROID PSIQUE | Custo por crédito de atendimento</ns0:t>
        </ns0:is>
      </ns0:c>
    </ns0:row>
    <ns0:row r="2" ht="42" customHeight="1">
      <ns0:c r="A2" s="2" t="inlineStr">
        <ns0:is>
          <ns0:t>24/09/2026 | Estudo gerencial. Não aprova nem altera preços ou configurações Stripe.</ns0:t>
        </ns0:is>
      </ns0:c>
    </ns0:row>
    <ns0:row r="3"/>
    <ns0:row r="4"/>
    <ns0:row r="5" ht="32" customHeight="1">
      <ns0:c r="A5" s="3" t="inlineStr">
        <ns0:is>
          <ns0:t>Etapa</ns0:t>
        </ns0:is>
      </ns0:c>
      <ns0:c r="B5" s="3" t="inlineStr">
        <ns0:is>
          <ns0:t>Como utilizar</ns0:t>
        </ns0:is>
      </ns0:c>
    </ns0:row>
    <ns0:row r="6" ht="58" customHeight="1">
      <ns0:c r="A6" s="4" t="inlineStr">
        <ns0:is>
          <ns0:t>Unidade</ns0:t>
        </ns0:is>
      </ns0:c>
      <ns0:c r="B6" s="4" t="inlineStr">
        <ns0:is>
          <ns0:t>Um crédito de atendimento corresponde a um atendimento na regra atual. Sessão continua sendo o registro clínico; duração e regra de consumo não foram alteradas.</ns0:t>
        </ns0:is>
      </ns0:c>
    </ns0:row>
    <ns0:row r="7" ht="58" customHeight="1">
      <ns0:c r="A7" s="4" t="inlineStr">
        <ns0:is>
          <ns0:t>Preenchimento</ns0:t>
        </ns0:is>
      </ns0:c>
      <ns0:c r="B7" s="4" t="inlineStr">
        <ns0:is>
          <ns0:t>Amarelo: entrada. Azul: referência. Verde: fórmula. Vazio = não apurado. Zero somente quando houver confirmação de custo/consumo nulo.</ns0:t>
        </ns0:is>
      </ns0:c>
    </ns0:row>
    <ns0:row r="8" ht="58" customHeight="1">
      <ns0:c r="A8" s="4" t="inlineStr">
        <ns0:is>
          <ns0:t>Ordem</ns0:t>
        </ns0:is>
      </ns0:c>
      <ns0:c r="B8" s="4" t="inlineStr">
        <ns0:is>
          <ns0:t>Preencha Premissas, Fixos, Variáveis e IA; consulte Resultado, Pacotes e Cenários.</ns0:t>
        </ns0:is>
      </ns0:c>
    </ns0:row>
    <ns0:row r="9" ht="58" customHeight="1">
      <ns0:c r="A9" s="4" t="inlineStr">
        <ns0:is>
          <ns0:t>Exclusões</ns0:t>
        </ns0:is>
      </ns0:c>
      <ns0:c r="B9" s="4" t="inlineStr">
        <ns0:is>
          <ns0:t>Não se aplica exige justificativa. Itens pendentes bloqueiam custo completo e preço mínimo, evitando que um subtotal pareça o total.</ns0:t>
        </ns0:is>
      </ns0:c>
    </ns0:row>
    <ns0:row r="10" ht="58" customHeight="1">
      <ns0:c r="A10" s="4" t="inlineStr">
        <ns0:is>
          <ns0:t>Regime</ns0:t>
        </ns0:is>
      </ns0:c>
      <ns0:c r="B10" s="4" t="inlineStr">
        <ns0:is>
          <ns0:t>Modelo mensal de equilíbrio: receitas de créditos pagos utilizados, uso integral dos pacotes e taxas de compra rateadas. Não é fluxo de caixa de vendas antecipadas.</ns0:t>
        </ns0:is>
      </ns0:c>
    </ns0:row>
    <ns0:row r="11" ht="58" customHeight="1">
      <ns0:c r="A11" s="4" t="inlineStr">
        <ns0:is>
          <ns0:t>Gratuitos</ns0:t>
        </ns0:is>
      </ns0:c>
      <ns0:c r="B11" s="4" t="inlineStr">
        <ns0:is>
          <ns0:t>Atendimentos gratuitos também consomem APIs e estrutura. O custo deles é suportado pelos créditos pagos. Desconto de pioneiro encerrado; cortesia não foi cancelada.</ns0:t>
        </ns0:is>
      </ns0:c>
    </ns0:row>
    <ns0:row r="12" ht="58" customHeight="1">
      <ns0:c r="A12" s="4" t="inlineStr">
        <ns0:is>
          <ns0:t>Não duplicar</ns0:t>
        </ns0:is>
      </ns0:c>
      <ns0:c r="B12" s="4" t="inlineStr">
        <ns0:is>
          <ns0:t>Cada gasto aparece uma vez. APIs são calculadas em IA. Suporte pode ser folha fixa OU variável por atendimento; não repetir horas nem faturas.</ns0:t>
        </ns0:is>
      </ns0:c>
    </ns0:row>
    <ns0:row r="13" ht="58" customHeight="1">
      <ns0:c r="A13" s="4" t="inlineStr">
        <ns0:is>
          <ns0:t>Rateio</ns0:t>
        </ns0:is>
      </ns0:c>
      <ns0:c r="B13" s="4" t="inlineStr">
        <ns0:is>
          <ns0:t>Infra compartilhada com NR-1, site e desenvolvimento exige critério documentado. Não atribuir tudo ao Psique sem apuração.</ns0:t>
        </ns0:is>
      </ns0:c>
    </ns0:row>
    <ns0:row r="14" ht="58" customHeight="1">
      <ns0:c r="A14" s="4" t="inlineStr">
        <ns0:is>
          <ns0:t>APIs</ns0:t>
        </ns0:is>
      </ns0:c>
      <ns0:c r="B14" s="4" t="inlineStr">
        <ns0:is>
          <ns0:t>Use minutos efetivamente enviados de paciente e profissional, incluindo reenvios. Tokens incluem prompts, histórico, resumos, análises, relatórios, consultas e fallback. max_tokens não é consumo.</ns0:t>
        </ns0:is>
      </ns0:c>
    </ns0:row>
    <ns0:row r="15" ht="58" customHeight="1">
      <ns0:c r="A15" s="4" t="inlineStr">
        <ns0:is>
          <ns0:t>Histórico</ns0:t>
        </ns0:is>
      </ns0:c>
      <ns0:c r="B15" s="4" t="inlineStr">
        <ns0:is>
          <ns0:t>Armazenamento e backup incluem o acervo acumulado. Use faturas ou projeções documentadas; não presumir exclusão de registros após acabar o crédito.</ns0:t>
        </ns0:is>
      </ns0:c>
    </ns0:row>
    <ns0:row r="16" ht="58" customHeight="1">
      <ns0:c r="A16" s="4" t="inlineStr">
        <ns0:is>
          <ns0:t>Câmbio e impostos</ns0:t>
        </ns0:is>
      </ns0:c>
      <ns0:c r="B16" s="4" t="inlineStr">
        <ns0:is>
          <ns0:t>Informe câmbio efetivo com IOF/spread. A contabilidade deve apurar a alíquota de tributos. Nenhum regime tributário foi presumido.</ns0:t>
        </ns0:is>
      </ns0:c>
    </ns0:row>
    <ns0:row r="17" ht="58" customHeight="1">
      <ns0:c r="A17" s="4" t="inlineStr">
        <ns0:is>
          <ns0:t>Pagamentos</ns0:t>
        </ns0:is>
      </ns0:c>
      <ns0:c r="B17" s="4" t="inlineStr">
        <ns0:is>
          <ns0:t>Referências contém taxas públicas. Em Premissas, informe a tarifa realmente contratada ou ponderada pelo mix. Tarifa fixa incide por pacote, não por crédito.</ns0:t>
        </ns0:is>
      </ns0:c>
    </ns0:row>
    <ns0:row r="18" ht="58" customHeight="1">
      <ns0:c r="A18" s="4" t="inlineStr">
        <ns0:is>
          <ns0:t>Pendências</ns0:t>
        </ns0:is>
      </ns0:c>
      <ns0:c r="B18" s="4" t="inlineStr">
        <ns0:is>
          <ns0:t>Sem faturas e consumo não há custo final medido. O total fica como Sem Capacidade de Apuração. Tarifas de referência não são gastos da empresa.</ns0:t>
        </ns0:is>
      </ns0:c>
    </ns0:row>
    <ns0:row r="19" ht="58" customHeight="1">
      <ns0:c r="A19" s="4" t="inlineStr">
        <ns0:is>
          <ns0:t>Preços e MASTER</ns0:t>
        </ns0:is>
      </ns0:c>
      <ns0:c r="B19" s="4" t="inlineStr">
        <ns0:is>
          <ns0:t>Pacotes registra site e catálogo consultados. A divergência MASTER permanece visível; valor de teste não foi adotado como recomendação.</ns0:t>
        </ns0:is>
      </ns0:c>
    </ns0:row>
    <ns0:row r="20" ht="58" customHeight="1">
      <ns0:c r="A20" s="4" t="inlineStr">
        <ns0:is>
          <ns0:t>Cenários</ns0:t>
        </ns0:is>
      </ns0:c>
      <ns0:c r="B20" s="4" t="inlineStr">
        <ns0:is>
          <ns0:t>Volumes e preços ficam vazios. Hipóteses preenchidas por você geram projeções, não medições. Mudança de capacidade exige novo orçamento.</ns0:t>
        </ns0:is>
      </ns0:c>
    </ns0:row>
    <ns0:row r="21" ht="58" customHeight="1">
      <ns0:c r="A21" s="4" t="inlineStr">
        <ns0:is>
          <ns0:t>Escopo</ns0:t>
        </ns0:is>
      </ns0:c>
      <ns0:c r="B21" s="4" t="inlineStr">
        <ns0:is>
          <ns0:t>Inclui infraestrutura, APIs, armazenamento, pessoal, pró-labore, suporte, desenvolvimento, aquisição, jurídico, contabilidade, seguros, tributos, taxas e perdas.</ns0:t>
        </ns0:is>
      </ns0:c>
    </ns0:row>
    <ns0:row r="22" ht="58" customHeight="1">
      <ns0:c r="A22" s="4" t="inlineStr">
        <ns0:is>
          <ns0:t>Fonte</ns0:t>
        </ns0:is>
      </ns0:c>
      <ns0:c r="B22" s="4" t="inlineStr">
        <ns0:is>
          <ns0:t>Modelos em produção conferidos em 24/09/2026: gpt-4o-mini, gpt-4o-transcribe, gemini-1.5-pro. Não houve acesso a extratos de fornecedores nem a dados clínicos.</ns0:t>
        </ns0:is>
      </ns0:c>
    </ns0:row>
  </ns0:sheetData>
  <ns0:mergeCells count="2">
    <ns0:mergeCell ref="A2:B2"/>
    <ns0:mergeCell ref="A1:B1"/>
  </ns0:mergeCells>
  <ns0:pageMargins left="0.75" right="0.75" top="1" bottom="1" header="0.5" footer="0.5"/>
  <ns0:pageSetup orientation="landscape" paperSize="9" fitToHeight="0" fitToWidth="1"/>
  <ns0:headerFooter>
    <ns0:oddHeader/>
    <ns0:oddFooter>&amp;CFROID Psique | &amp;A | &amp;P / &amp;N</ns0:oddFooter>
    <ns0:evenHeader/>
    <ns0:evenFooter/>
    <ns0:firstHeader/>
    <ns0:firstFooter/>
  </ns0:headerFooter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D21"/>
  <ns0:sheetViews>
    <ns0:sheetView showGridLines="0"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8" customWidth="1" min="1" max="1"/>
    <ns0:col width="32" customWidth="1" min="2" max="2"/>
    <ns0:col width="20" customWidth="1" min="3" max="3"/>
    <ns0:col width="100" customWidth="1" min="4" max="4"/>
  </ns0:cols>
  <ns0:sheetData>
    <ns0:row r="1" ht="42" customHeight="1">
      <ns0:c r="A1" s="1" t="inlineStr">
        <ns0:is>
          <ns0:t>ENTRADAS | Volume, preço e cobrança</ns0:t>
        </ns0:is>
      </ns0:c>
    </ns0:row>
    <ns0:row r="2" ht="42" customHeight="1">
      <ns0:c r="A2" s="2" t="inlineStr">
        <ns0:is>
          <ns0:t>Valores confirmados ou hipóteses identificadas na fonte. Digite percentuais com %. Custos ausentes não são zero.</ns0:t>
        </ns0:is>
      </ns0:c>
    </ns0:row>
    <ns0:row r="3"/>
    <ns0:row r="4"/>
    <ns0:row r="5" ht="32" customHeight="1">
      <ns0:c r="A5" s="3" t="inlineStr">
        <ns0:is>
          <ns0:t>Premissa</ns0:t>
        </ns0:is>
      </ns0:c>
      <ns0:c r="B5" s="3" t="inlineStr">
        <ns0:is>
          <ns0:t>Valor</ns0:t>
        </ns0:is>
      </ns0:c>
      <ns0:c r="C5" s="3" t="inlineStr">
        <ns0:is>
          <ns0:t>Unidade</ns0:t>
        </ns0:is>
      </ns0:c>
      <ns0:c r="D5" s="3" t="inlineStr">
        <ns0:is>
          <ns0:t>Fonte / observação</ns0:t>
        </ns0:is>
      </ns0:c>
    </ns0:row>
    <ns0:row r="6" ht="44" customHeight="1">
      <ns0:c r="A6" s="4" t="inlineStr">
        <ns0:is>
          <ns0:t>Créditos pagos utilizados no mês</ns0:t>
        </ns0:is>
      </ns0:c>
      <ns0:c r="B6" s="5" t="n"/>
      <ns0:c r="C6" s="4" t="inlineStr">
        <ns0:is>
          <ns0:t>créditos</ns0:t>
        </ns0:is>
      </ns0:c>
      <ns0:c r="D6" s="4" t="inlineStr">
        <ns0:is>
          <ns0:t>Base de rateio: maior que zero.</ns0:t>
        </ns0:is>
      </ns0:c>
    </ns0:row>
    <ns0:row r="7" ht="44" customHeight="1">
      <ns0:c r="A7" s="4" t="inlineStr">
        <ns0:is>
          <ns0:t>Créditos gratuitos utilizados no mês</ns0:t>
        </ns0:is>
      </ns0:c>
      <ns0:c r="B7" s="5" t="n"/>
      <ns0:c r="C7" s="4" t="inlineStr">
        <ns0:is>
          <ns0:t>créditos</ns0:t>
        </ns0:is>
      </ns0:c>
      <ns0:c r="D7" s="4" t="inlineStr">
        <ns0:is>
          <ns0:t>Zero somente se não houver uso gratuito.</ns0:t>
        </ns0:is>
      </ns0:c>
    </ns0:row>
    <ns0:row r="8" ht="44" customHeight="1">
      <ns0:c r="A8" s="4" t="inlineStr">
        <ns0:is>
          <ns0:t>Atendimentos totais no mês</ns0:t>
        </ns0:is>
      </ns0:c>
      <ns0:c r="B8" s="6" t="str">
        <ns0:f>IF(COUNT(B6:B7)=2,SUM(B6:B7),"Sem Capacidade de Apuração")</ns0:f>
        <ns0:v>Sem Capacidade de Apuração</ns0:v>
      </ns0:c>
      <ns0:c r="C8" s="4" t="inlineStr">
        <ns0:is>
          <ns0:t>atendimentos</ns0:t>
        </ns0:is>
      </ns0:c>
      <ns0:c r="D8" s="4" t="inlineStr">
        <ns0:is>
          <ns0:t>Pagos + gratuitos.</ns0:t>
        </ns0:is>
      </ns0:c>
    </ns0:row>
    <ns0:row r="9" ht="44" customHeight="1">
      <ns0:c r="A9" s="4" t="inlineStr">
        <ns0:is>
          <ns0:t>Duração média observada</ns0:t>
        </ns0:is>
      </ns0:c>
      <ns0:c r="B9" s="5" t="n"/>
      <ns0:c r="C9" s="4" t="inlineStr">
        <ns0:is>
          <ns0:t>minutos</ns0:t>
        </ns0:is>
      </ns0:c>
      <ns0:c r="D9" s="4" t="inlineStr">
        <ns0:is>
          <ns0:t>Contexto: não substitui minutos faturados de transcrição.</ns0:t>
        </ns0:is>
      </ns0:c>
    </ns0:row>
    <ns0:row r="10" ht="44" customHeight="1">
      <ns0:c r="A10" s="4" t="inlineStr">
        <ns0:is>
          <ns0:t>Créditos por pacote de referência</ns0:t>
        </ns0:is>
      </ns0:c>
      <ns0:c r="B10" s="5" t="n"/>
      <ns0:c r="C10" s="4" t="inlineStr">
        <ns0:is>
          <ns0:t>créditos/pacote</ns0:t>
        </ns0:is>
      </ns0:c>
      <ns0:c r="D10" s="4" t="inlineStr">
        <ns0:is>
          <ns0:t>Para mix, média comprovada de créditos por pagamento.</ns0:t>
        </ns0:is>
      </ns0:c>
    </ns0:row>
    <ns0:row r="11" ht="44" customHeight="1">
      <ns0:c r="A11" s="4" t="inlineStr">
        <ns0:is>
          <ns0:t>Preço a avaliar por crédito</ns0:t>
        </ns0:is>
      </ns0:c>
      <ns0:c r="B11" s="7" t="n"/>
      <ns0:c r="C11" s="4" t="inlineStr">
        <ns0:is>
          <ns0:t>BRL/crédito</ns0:t>
        </ns0:is>
      </ns0:c>
      <ns0:c r="D11" s="4" t="inlineStr">
        <ns0:is>
          <ns0:t>Sua decisão comercial, ainda não aprovada/publicada.</ns0:t>
        </ns0:is>
      </ns0:c>
    </ns0:row>
    <ns0:row r="12" ht="44" customHeight="1">
      <ns0:c r="A12" s="4" t="inlineStr">
        <ns0:is>
          <ns0:t>Margem operacional desejada</ns0:t>
        </ns0:is>
      </ns0:c>
      <ns0:c r="B12" s="8" t="n"/>
      <ns0:c r="C12" s="4" t="inlineStr">
        <ns0:is>
          <ns0:t>% receita</ns0:t>
        </ns0:is>
      </ns0:c>
      <ns0:c r="D12" s="4" t="inlineStr">
        <ns0:is>
          <ns0:t>Margem sobre receita, não markup.</ns0:t>
        </ns0:is>
      </ns0:c>
    </ns0:row>
    <ns0:row r="13" ht="44" customHeight="1">
      <ns0:c r="A13" s="4" t="inlineStr">
        <ns0:is>
          <ns0:t>USD para BRL efetivo</ns0:t>
        </ns0:is>
      </ns0:c>
      <ns0:c r="B13" s="5" t="n"/>
      <ns0:c r="C13" s="4" t="inlineStr">
        <ns0:is>
          <ns0:t>BRL/USD</ns0:t>
        </ns0:is>
      </ns0:c>
      <ns0:c r="D13" s="4" t="inlineStr">
        <ns0:is>
          <ns0:t>Inclua spread e encargos cambiais; não duplicar em outra linha.</ns0:t>
        </ns0:is>
      </ns0:c>
    </ns0:row>
    <ns0:row r="14" ht="44" customHeight="1">
      <ns0:c r="A14" s="4" t="inlineStr">
        <ns0:is>
          <ns0:t>EUR para BRL efetivo</ns0:t>
        </ns0:is>
      </ns0:c>
      <ns0:c r="B14" s="5" t="n"/>
      <ns0:c r="C14" s="4" t="inlineStr">
        <ns0:is>
          <ns0:t>BRL/EUR</ns0:t>
        </ns0:is>
      </ns0:c>
      <ns0:c r="D14" s="4" t="inlineStr">
        <ns0:is>
          <ns0:t>Necessário apenas para faturas em EUR.</ns0:t>
        </ns0:is>
      </ns0:c>
    </ns0:row>
    <ns0:row r="15" ht="44" customHeight="1">
      <ns0:c r="A15" s="4" t="inlineStr">
        <ns0:is>
          <ns0:t>Tributos efetivos sobre faturamento</ns0:t>
        </ns0:is>
      </ns0:c>
      <ns0:c r="B15" s="8" t="n"/>
      <ns0:c r="C15" s="4" t="inlineStr">
        <ns0:is>
          <ns0:t>% receita</ns0:t>
        </ns0:is>
      </ns0:c>
      <ns0:c r="D15" s="4" t="inlineStr">
        <ns0:is>
          <ns0:t>Apurar com a contabilidade.</ns0:t>
        </ns0:is>
      </ns0:c>
    </ns0:row>
    <ns0:row r="16" ht="44" customHeight="1">
      <ns0:c r="A16" s="4" t="inlineStr">
        <ns0:is>
          <ns0:t>Comissões variáveis</ns0:t>
        </ns0:is>
      </ns0:c>
      <ns0:c r="B16" s="8" t="n"/>
      <ns0:c r="C16" s="4" t="inlineStr">
        <ns0:is>
          <ns0:t>% receita</ns0:t>
        </ns0:is>
      </ns0:c>
      <ns0:c r="D16" s="4" t="inlineStr">
        <ns0:is>
          <ns0:t>Não duplicar valores lançados em Fixos/Variáveis.</ns0:t>
        </ns0:is>
      </ns0:c>
    </ns0:row>
    <ns0:row r="17" ht="44" customHeight="1">
      <ns0:c r="A17" s="4" t="inlineStr">
        <ns0:is>
          <ns0:t>Perdas e reembolsos líquidos</ns0:t>
        </ns0:is>
      </ns0:c>
      <ns0:c r="B17" s="8" t="n"/>
      <ns0:c r="C17" s="4" t="inlineStr">
        <ns0:is>
          <ns0:t>% receita</ns0:t>
        </ns0:is>
      </ns0:c>
      <ns0:c r="D17" s="4" t="inlineStr">
        <ns0:is>
          <ns0:t>Provisão informada; tarifas de contestação ficam em Fixos.</ns0:t>
        </ns0:is>
      </ns0:c>
    </ns0:row>
    <ns0:row r="18" ht="44" customHeight="1">
      <ns0:c r="A18" s="4" t="inlineStr">
        <ns0:is>
          <ns0:t>Tarifa percentual do pagamento</ns0:t>
        </ns0:is>
      </ns0:c>
      <ns0:c r="B18" s="8" t="n"/>
      <ns0:c r="C18" s="4" t="inlineStr">
        <ns0:is>
          <ns0:t>% receita</ns0:t>
        </ns0:is>
      </ns0:c>
      <ns0:c r="D18" s="4" t="inlineStr">
        <ns0:is>
          <ns0:t>Contratada ou média ponderada: consulte Referências.</ns0:t>
        </ns0:is>
      </ns0:c>
    </ns0:row>
    <ns0:row r="19" ht="44" customHeight="1">
      <ns0:c r="A19" s="4" t="inlineStr">
        <ns0:is>
          <ns0:t>Tarifa fixa por pagamento</ns0:t>
        </ns0:is>
      </ns0:c>
      <ns0:c r="B19" s="7" t="n"/>
      <ns0:c r="C19" s="4" t="inlineStr">
        <ns0:is>
          <ns0:t>BRL/transação</ns0:t>
        </ns0:is>
      </ns0:c>
      <ns0:c r="D19" s="4" t="inlineStr">
        <ns0:is>
          <ns0:t>Por pacote comprado, não por crédito.</ns0:t>
        </ns0:is>
      </ns0:c>
    </ns0:row>
    <ns0:row r="20" ht="44" customHeight="1">
      <ns0:c r="A20" s="4" t="inlineStr">
        <ns0:is>
          <ns0:t>Outras tarifas percentuais</ns0:t>
        </ns0:is>
      </ns0:c>
      <ns0:c r="B20" s="8" t="n"/>
      <ns0:c r="C20" s="4" t="inlineStr">
        <ns0:is>
          <ns0:t>% receita</ns0:t>
        </ns0:is>
      </ns0:c>
      <ns0:c r="D20" s="4" t="inlineStr">
        <ns0:is>
          <ns0:t>Parcelamento, Billing, conversão ou adicionais não incluídos acima.</ns0:t>
        </ns0:is>
      </ns0:c>
    </ns0:row>
    <ns0:row r="21" ht="44" customHeight="1">
      <ns0:c r="A21" s="4" t="inlineStr">
        <ns0:is>
          <ns0:t>Desconto de pioneiro vigente</ns0:t>
        </ns0:is>
      </ns0:c>
      <ns0:c r="B21" s="9" t="n">
        <ns0:v>0</ns0:v>
      </ns0:c>
      <ns0:c r="C21" s="4" t="inlineStr">
        <ns0:is>
          <ns0:t>%</ns0:t>
        </ns0:is>
      </ns0:c>
      <ns0:c r="D21" s="4" t="inlineStr">
        <ns0:is>
          <ns0:t>0% por determinação do proprietário em 24/09/2026.</ns0:t>
        </ns0:is>
      </ns0:c>
    </ns0:row>
  </ns0:sheetData>
  <ns0:mergeCells count="2">
    <ns0:mergeCell ref="A1:D1"/>
    <ns0:mergeCell ref="A2:D2"/>
  </ns0:mergeCells>
  <ns0:dataValidations count="14">
    <ns0:dataValidation sqref="B6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  <ns0:dataValidation sqref="B7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  <ns0:dataValidation sqref="B9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  <ns0:dataValidation sqref="B10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  <ns0:dataValidation sqref="B11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  <ns0:dataValidation sqref="B12" showDropDown="0" showInputMessage="0" showErrorMessage="1" allowBlank="1" errorTitle="Entrada inválida" error="Informe valor válido; deixe vazio se não apurado." type="decimal" errorStyle="stop" operator="between">
      <ns0:formula1>0</ns0:formula1>
      <ns0:formula2>0.999999</ns0:formula2>
    </ns0:dataValidation>
    <ns0:dataValidation sqref="B13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  <ns0:dataValidation sqref="B14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  <ns0:dataValidation sqref="B15" showDropDown="0" showInputMessage="0" showErrorMessage="1" allowBlank="1" errorTitle="Entrada inválida" error="Informe valor válido; deixe vazio se não apurado." type="decimal" errorStyle="stop" operator="between">
      <ns0:formula1>0</ns0:formula1>
      <ns0:formula2>0.999999</ns0:formula2>
    </ns0:dataValidation>
    <ns0:dataValidation sqref="B16" showDropDown="0" showInputMessage="0" showErrorMessage="1" allowBlank="1" errorTitle="Entrada inválida" error="Informe valor válido; deixe vazio se não apurado." type="decimal" errorStyle="stop" operator="between">
      <ns0:formula1>0</ns0:formula1>
      <ns0:formula2>0.999999</ns0:formula2>
    </ns0:dataValidation>
    <ns0:dataValidation sqref="B17" showDropDown="0" showInputMessage="0" showErrorMessage="1" allowBlank="1" errorTitle="Entrada inválida" error="Informe valor válido; deixe vazio se não apurado." type="decimal" errorStyle="stop" operator="between">
      <ns0:formula1>0</ns0:formula1>
      <ns0:formula2>0.999999</ns0:formula2>
    </ns0:dataValidation>
    <ns0:dataValidation sqref="B18" showDropDown="0" showInputMessage="0" showErrorMessage="1" allowBlank="1" errorTitle="Entrada inválida" error="Informe valor válido; deixe vazio se não apurado." type="decimal" errorStyle="stop" operator="between">
      <ns0:formula1>0</ns0:formula1>
      <ns0:formula2>0.999999</ns0:formula2>
    </ns0:dataValidation>
    <ns0:dataValidation sqref="B19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  <ns0:dataValidation sqref="B20" showDropDown="0" showInputMessage="0" showErrorMessage="1" allowBlank="1" errorTitle="Entrada inválida" error="Informe valor válido; deixe vazio se não apurado." type="decimal" errorStyle="stop" operator="between">
      <ns0:formula1>0</ns0:formula1>
      <ns0:formula2>0.999999</ns0:formula2>
    </ns0:dataValidation>
  </ns0:dataValidations>
  <ns0:pageMargins left="0.75" right="0.75" top="1" bottom="1" header="0.5" footer="0.5"/>
  <ns0:pageSetup orientation="landscape" paperSize="9" fitToHeight="0" fitToWidth="1"/>
  <ns0:headerFooter>
    <ns0:oddHeader/>
    <ns0:oddFooter>&amp;CFROID Psique | &amp;A | &amp;P / &amp;N</ns0:oddFooter>
    <ns0:evenHeader/>
    <ns0:evenFooter/>
    <ns0:firstHeader/>
    <ns0:firstFooter/>
  </ns0:headerFooter>
</ns0: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E21"/>
  <ns0:sheetViews>
    <ns0:sheetView showGridLines="0"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3" customWidth="1" min="1" max="1"/>
    <ns0:col width="24" customWidth="1" min="2" max="2"/>
    <ns0:col width="25" customWidth="1" min="3" max="3"/>
    <ns0:col width="78" customWidth="1" min="4" max="4"/>
    <ns0:col width="90" customWidth="1" min="5" max="5"/>
  </ns0:cols>
  <ns0:sheetData>
    <ns0:row r="1" ht="42" customHeight="1">
      <ns0:c r="A1" s="1" t="inlineStr">
        <ns0:is>
          <ns0:t>REFERÊNCIAS | Tarifas públicas</ns0:t>
        </ns0:is>
      </ns0:c>
    </ns0:row>
    <ns0:row r="2" ht="42" customHeight="1">
      <ns0:c r="A2" s="2" t="inlineStr">
        <ns0:is>
          <ns0:t>Consulta em 24/09/2026. Não substitui contrato/fatura. Gemini configurado não localizado na tabela atual: tarifa pendente.</ns0:t>
        </ns0:is>
      </ns0:c>
    </ns0:row>
    <ns0:row r="3"/>
    <ns0:row r="4"/>
    <ns0:row r="5" ht="32" customHeight="1">
      <ns0:c r="A5" s="3" t="inlineStr">
        <ns0:is>
          <ns0:t>Serviço</ns0:t>
        </ns0:is>
      </ns0:c>
      <ns0:c r="B5" s="3" t="inlineStr">
        <ns0:is>
          <ns0:t>Tarifa</ns0:t>
        </ns0:is>
      </ns0:c>
      <ns0:c r="C5" s="3" t="inlineStr">
        <ns0:is>
          <ns0:t>Unidade</ns0:t>
        </ns0:is>
      </ns0:c>
      <ns0:c r="D5" s="3" t="inlineStr">
        <ns0:is>
          <ns0:t>Fonte</ns0:t>
        </ns0:is>
      </ns0:c>
      <ns0:c r="E5" s="3" t="inlineStr">
        <ns0:is>
          <ns0:t>Observação</ns0:t>
        </ns0:is>
      </ns0:c>
    </ns0:row>
    <ns0:row r="6" ht="44" customHeight="1">
      <ns0:c r="A6" s="4" t="inlineStr">
        <ns0:is>
          <ns0:t>gpt-4o-transcribe</ns0:t>
        </ns0:is>
      </ns0:c>
      <ns0:c r="B6" s="10" t="n">
        <ns0:v>0.006</ns0:v>
      </ns0:c>
      <ns0:c r="C6" s="4" t="inlineStr">
        <ns0:is>
          <ns0:t>USD/minuto</ns0:t>
        </ns0:is>
      </ns0:c>
      <ns0:c r="D6" s="4" t="inlineStr">
        <ns0:is>
          <ns0:t>https://developers.openai.com/api/docs/pricing</ns0:t>
        </ns0:is>
      </ns0:c>
      <ns0:c r="E6" s="4" t="inlineStr">
        <ns0:is>
          <ns0:t>Estimativa oficial por minuto; conciliar com usage/fatura.</ns0:t>
        </ns0:is>
      </ns0:c>
    </ns0:row>
    <ns0:row r="7" ht="44" customHeight="1">
      <ns0:c r="A7" s="4" t="inlineStr">
        <ns0:is>
          <ns0:t>gpt-4o-mini entrada</ns0:t>
        </ns0:is>
      </ns0:c>
      <ns0:c r="B7" s="10" t="n">
        <ns0:v>0.15</ns0:v>
      </ns0:c>
      <ns0:c r="C7" s="4" t="inlineStr">
        <ns0:is>
          <ns0:t>USD/1M tokens</ns0:t>
        </ns0:is>
      </ns0:c>
      <ns0:c r="D7" s="4" t="inlineStr">
        <ns0:is>
          <ns0:t>https://developers.openai.com/api/docs/models/gpt-4o-mini</ns0:t>
        </ns0:is>
      </ns0:c>
      <ns0:c r="E7" s="4" t="inlineStr">
        <ns0:is>
          <ns0:t>Tarifa padrão sem cache; não usar preço Batch.</ns0:t>
        </ns0:is>
      </ns0:c>
    </ns0:row>
    <ns0:row r="8" ht="44" customHeight="1">
      <ns0:c r="A8" s="4" t="inlineStr">
        <ns0:is>
          <ns0:t>gpt-4o-mini cache</ns0:t>
        </ns0:is>
      </ns0:c>
      <ns0:c r="B8" s="10" t="n">
        <ns0:v>0.075</ns0:v>
      </ns0:c>
      <ns0:c r="C8" s="4" t="inlineStr">
        <ns0:is>
          <ns0:t>USD/1M tokens</ns0:t>
        </ns0:is>
      </ns0:c>
      <ns0:c r="D8" s="4" t="inlineStr">
        <ns0:is>
          <ns0:t>https://developers.openai.com/api/docs/models/gpt-4o-mini</ns0:t>
        </ns0:is>
      </ns0:c>
      <ns0:c r="E8" s="4" t="inlineStr">
        <ns0:is>
          <ns0:t>Só tokens cobrados com cache.</ns0:t>
        </ns0:is>
      </ns0:c>
    </ns0:row>
    <ns0:row r="9" ht="44" customHeight="1">
      <ns0:c r="A9" s="4" t="inlineStr">
        <ns0:is>
          <ns0:t>gpt-4o-mini saída</ns0:t>
        </ns0:is>
      </ns0:c>
      <ns0:c r="B9" s="10" t="n">
        <ns0:v>0.6</ns0:v>
      </ns0:c>
      <ns0:c r="C9" s="4" t="inlineStr">
        <ns0:is>
          <ns0:t>USD/1M tokens</ns0:t>
        </ns0:is>
      </ns0:c>
      <ns0:c r="D9" s="4" t="inlineStr">
        <ns0:is>
          <ns0:t>https://developers.openai.com/api/docs/models/gpt-4o-mini</ns0:t>
        </ns0:is>
      </ns0:c>
      <ns0:c r="E9" s="4" t="inlineStr">
        <ns0:is>
          <ns0:t>Uso medido, não limite de geração.</ns0:t>
        </ns0:is>
      </ns0:c>
    </ns0:row>
    <ns0:row r="10" ht="44" customHeight="1">
      <ns0:c r="A10" s="4" t="inlineStr">
        <ns0:is>
          <ns0:t>text-embedding-3-small</ns0:t>
        </ns0:is>
      </ns0:c>
      <ns0:c r="B10" s="10" t="n">
        <ns0:v>0.02</ns0:v>
      </ns0:c>
      <ns0:c r="C10" s="4" t="inlineStr">
        <ns0:is>
          <ns0:t>USD/1M tokens</ns0:t>
        </ns0:is>
      </ns0:c>
      <ns0:c r="D10" s="4" t="inlineStr">
        <ns0:is>
          <ns0:t>https://developers.openai.com/api/docs/models/text-embedding-3-small</ns0:t>
        </ns0:is>
      </ns0:c>
      <ns0:c r="E10" s="4" t="inlineStr">
        <ns0:is>
          <ns0:t>Confirmar consultas e reindexações atribuíveis ao Psique.</ns0:t>
        </ns0:is>
      </ns0:c>
    </ns0:row>
    <ns0:row r="11" ht="44" customHeight="1">
      <ns0:c r="A11" s="4" t="inlineStr">
        <ns0:is>
          <ns0:t>Gemini entrada (gemini-1.5-pro)</ns0:t>
        </ns0:is>
      </ns0:c>
      <ns0:c r="B11" s="11" t="n"/>
      <ns0:c r="C11" s="4" t="inlineStr">
        <ns0:is>
          <ns0:t>USD/1M tokens</ns0:t>
        </ns0:is>
      </ns0:c>
      <ns0:c r="D11" s="4" t="inlineStr">
        <ns0:is>
          <ns0:t>https://ai.google.dev/gemini-api/docs/pricing</ns0:t>
        </ns0:is>
      </ns0:c>
      <ns0:c r="E11" s="4" t="inlineStr">
        <ns0:is>
          <ns0:t>Tarifa atual não localizada para modelo configurado. Confirmar uso/modelo/fatura.</ns0:t>
        </ns0:is>
      </ns0:c>
    </ns0:row>
    <ns0:row r="12" ht="44" customHeight="1">
      <ns0:c r="A12" s="4" t="inlineStr">
        <ns0:is>
          <ns0:t>Gemini saída (gemini-1.5-pro)</ns0:t>
        </ns0:is>
      </ns0:c>
      <ns0:c r="B12" s="11" t="n"/>
      <ns0:c r="C12" s="4" t="inlineStr">
        <ns0:is>
          <ns0:t>USD/1M tokens</ns0:t>
        </ns0:is>
      </ns0:c>
      <ns0:c r="D12" s="4" t="inlineStr">
        <ns0:is>
          <ns0:t>https://ai.google.dev/gemini-api/docs/pricing</ns0:t>
        </ns0:is>
      </ns0:c>
      <ns0:c r="E12" s="4" t="inlineStr">
        <ns0:is>
          <ns0:t>Ausência não significa custo zero; pode haver fallback OpenAI.</ns0:t>
        </ns0:is>
      </ns0:c>
    </ns0:row>
    <ns0:row r="13" ht="44" customHeight="1">
      <ns0:c r="A13" s="4" t="inlineStr">
        <ns0:is>
          <ns0:t>Stripe cartão nacional — percentual</ns0:t>
        </ns0:is>
      </ns0:c>
      <ns0:c r="B13" s="9" t="n">
        <ns0:v>0.0399</ns0:v>
      </ns0:c>
      <ns0:c r="C13" s="4" t="inlineStr">
        <ns0:is>
          <ns0:t>% transação</ns0:t>
        </ns0:is>
      </ns0:c>
      <ns0:c r="D13" s="4" t="inlineStr">
        <ns0:is>
          <ns0:t>https://stripe.com/br/pricing</ns0:t>
        </ns0:is>
      </ns0:c>
      <ns0:c r="E13" s="4" t="inlineStr">
        <ns0:is>
          <ns0:t>Confirmar tarifa contratada.</ns0:t>
        </ns0:is>
      </ns0:c>
    </ns0:row>
    <ns0:row r="14" ht="44" customHeight="1">
      <ns0:c r="A14" s="4" t="inlineStr">
        <ns0:is>
          <ns0:t>Stripe cartão nacional — fixa</ns0:t>
        </ns0:is>
      </ns0:c>
      <ns0:c r="B14" s="10" t="n">
        <ns0:v>0.39</ns0:v>
      </ns0:c>
      <ns0:c r="C14" s="4" t="inlineStr">
        <ns0:is>
          <ns0:t>BRL/transação</ns0:t>
        </ns0:is>
      </ns0:c>
      <ns0:c r="D14" s="4" t="inlineStr">
        <ns0:is>
          <ns0:t>https://stripe.com/br/pricing</ns0:t>
        </ns0:is>
      </ns0:c>
      <ns0:c r="E14" s="4" t="inlineStr">
        <ns0:is>
          <ns0:t>Distribuir pelos créditos comprados.</ns0:t>
        </ns0:is>
      </ns0:c>
    </ns0:row>
    <ns0:row r="15" ht="44" customHeight="1">
      <ns0:c r="A15" s="4" t="inlineStr">
        <ns0:is>
          <ns0:t>Stripe internacional — adicional</ns0:t>
        </ns0:is>
      </ns0:c>
      <ns0:c r="B15" s="9" t="n">
        <ns0:v>0.02</ns0:v>
      </ns0:c>
      <ns0:c r="C15" s="4" t="inlineStr">
        <ns0:is>
          <ns0:t>% transação</ns0:t>
        </ns0:is>
      </ns0:c>
      <ns0:c r="D15" s="4" t="inlineStr">
        <ns0:is>
          <ns0:t>https://stripe.com/br/pricing</ns0:t>
        </ns0:is>
      </ns0:c>
      <ns0:c r="E15" s="4" t="inlineStr">
        <ns0:is>
          <ns0:t>Adicional à tarifa nacional; verificar condições de conversão.</ns0:t>
        </ns0:is>
      </ns0:c>
    </ns0:row>
    <ns0:row r="16" ht="44" customHeight="1">
      <ns0:c r="A16" s="4" t="inlineStr">
        <ns0:is>
          <ns0:t>Stripe Pix</ns0:t>
        </ns0:is>
      </ns0:c>
      <ns0:c r="B16" s="9" t="n">
        <ns0:v>0.0119</ns0:v>
      </ns0:c>
      <ns0:c r="C16" s="4" t="inlineStr">
        <ns0:is>
          <ns0:t>% transação</ns0:t>
        </ns0:is>
      </ns0:c>
      <ns0:c r="D16" s="4" t="inlineStr">
        <ns0:is>
          <ns0:t>https://stripe.com/br/pricing</ns0:t>
        </ns0:is>
      </ns0:c>
      <ns0:c r="E16" s="4" t="inlineStr">
        <ns0:is>
          <ns0:t>Por convite segundo página consultada; não assume habilitação.</ns0:t>
        </ns0:is>
      </ns0:c>
    </ns0:row>
    <ns0:row r="17" ht="44" customHeight="1">
      <ns0:c r="A17" s="4" t="inlineStr">
        <ns0:is>
          <ns0:t>Stripe boleto</ns0:t>
        </ns0:is>
      </ns0:c>
      <ns0:c r="B17" s="10" t="n">
        <ns0:v>3.45</ns0:v>
      </ns0:c>
      <ns0:c r="C17" s="4" t="inlineStr">
        <ns0:is>
          <ns0:t>BRL/boleto pago</ns0:t>
        </ns0:is>
      </ns0:c>
      <ns0:c r="D17" s="4" t="inlineStr">
        <ns0:is>
          <ns0:t>https://stripe.com/br/pricing</ns0:t>
        </ns0:is>
      </ns0:c>
      <ns0:c r="E17" s="4" t="inlineStr">
        <ns0:is>
          <ns0:t>Alternativa; não somar ao cartão na mesma venda.</ns0:t>
        </ns0:is>
      </ns0:c>
    </ns0:row>
    <ns0:row r="18" ht="44" customHeight="1">
      <ns0:c r="A18" s="4" t="inlineStr">
        <ns0:is>
          <ns0:t>Stripe contestação recebida</ns0:t>
        </ns0:is>
      </ns0:c>
      <ns0:c r="B18" s="10" t="n">
        <ns0:v>55</ns0:v>
      </ns0:c>
      <ns0:c r="C18" s="4" t="inlineStr">
        <ns0:is>
          <ns0:t>BRL/evento</ns0:t>
        </ns0:is>
      </ns0:c>
      <ns0:c r="D18" s="4" t="inlineStr">
        <ns0:is>
          <ns0:t>https://stripe.com/br/pricing</ns0:t>
        </ns0:is>
      </ns0:c>
      <ns0:c r="E18" s="4" t="inlineStr">
        <ns0:is>
          <ns0:t>Não presumir ocorrência.</ns0:t>
        </ns0:is>
      </ns0:c>
    </ns0:row>
    <ns0:row r="19" ht="44" customHeight="1">
      <ns0:c r="A19" s="4" t="inlineStr">
        <ns0:is>
          <ns0:t>Stripe refutação manual</ns0:t>
        </ns0:is>
      </ns0:c>
      <ns0:c r="B19" s="10" t="n">
        <ns0:v>55</ns0:v>
      </ns0:c>
      <ns0:c r="C19" s="4" t="inlineStr">
        <ns0:is>
          <ns0:t>BRL/evento</ns0:t>
        </ns0:is>
      </ns0:c>
      <ns0:c r="D19" s="4" t="inlineStr">
        <ns0:is>
          <ns0:t>https://stripe.com/br/pricing</ns0:t>
        </ns0:is>
      </ns0:c>
      <ns0:c r="E19" s="4" t="inlineStr">
        <ns0:is>
          <ns0:t>Tarifa devolvida em disputas ganhas; registrar custo líquido.</ns0:t>
        </ns0:is>
      </ns0:c>
    </ns0:row>
    <ns0:row r="20" ht="44" customHeight="1">
      <ns0:c r="A20" s="4" t="inlineStr">
        <ns0:is>
          <ns0:t>Catálogo comercial</ns0:t>
        </ns0:is>
      </ns0:c>
      <ns0:c r="B20" s="4" t="inlineStr">
        <ns0:is>
          <ns0:t>Confirmado</ns0:t>
        </ns0:is>
      </ns0:c>
      <ns0:c r="C20" s="4" t="inlineStr">
        <ns0:is>
          <ns0:t>código</ns0:t>
        </ns0:is>
      </ns0:c>
      <ns0:c r="D20" s="4" t="inlineStr">
        <ns0:is>
          <ns0:t>froid-server/subscriptions.py</ns0:t>
        </ns0:is>
      </ns0:c>
      <ns0:c r="E20" s="4" t="inlineStr">
        <ns0:is>
          <ns0:t>MASTER diverge do site; ver Pacotes.</ns0:t>
        </ns0:is>
      </ns0:c>
    </ns0:row>
    <ns0:row r="21" ht="44" customHeight="1">
      <ns0:c r="A21" s="4" t="inlineStr">
        <ns0:is>
          <ns0:t>Infra compartilhada</ns0:t>
        </ns0:is>
      </ns0:c>
      <ns0:c r="B21" s="4" t="inlineStr">
        <ns0:is>
          <ns0:t>Ratear</ns0:t>
        </ns0:is>
      </ns0:c>
      <ns0:c r="C21" s="4" t="inlineStr">
        <ns0:is>
          <ns0:t>código</ns0:t>
        </ns0:is>
      </ns0:c>
      <ns0:c r="D21" s="4" t="inlineStr">
        <ns0:is>
          <ns0:t>docker-compose.yml</ns0:t>
        </ns0:is>
      </ns0:c>
      <ns0:c r="E21" s="4" t="inlineStr">
        <ns0:is>
          <ns0:t>Não alocar NR-1 e desenvolvimento integralmente ao Psique.</ns0:t>
        </ns0:is>
      </ns0:c>
    </ns0:row>
  </ns0:sheetData>
  <ns0:mergeCells count="2">
    <ns0:mergeCell ref="A2:E2"/>
    <ns0:mergeCell ref="A1:E1"/>
  </ns0:mergeCells>
  <ns0:dataValidations count="1">
    <ns0:dataValidation sqref="B11:B12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</ns0:dataValidations>
  <ns0:hyperlinks>
    <ns0:hyperlink ref="D6" ns1:id="rId1"/>
    <ns0:hyperlink ref="D7" ns1:id="rId2"/>
    <ns0:hyperlink ref="D8" ns1:id="rId3"/>
    <ns0:hyperlink ref="D9" ns1:id="rId4"/>
    <ns0:hyperlink ref="D10" ns1:id="rId5"/>
    <ns0:hyperlink ref="D11" ns1:id="rId6"/>
    <ns0:hyperlink ref="D12" ns1:id="rId7"/>
    <ns0:hyperlink ref="D13" ns1:id="rId8"/>
    <ns0:hyperlink ref="D14" ns1:id="rId9"/>
    <ns0:hyperlink ref="D15" ns1:id="rId10"/>
    <ns0:hyperlink ref="D16" ns1:id="rId11"/>
    <ns0:hyperlink ref="D17" ns1:id="rId12"/>
    <ns0:hyperlink ref="D18" ns1:id="rId13"/>
    <ns0:hyperlink ref="D19" ns1:id="rId14"/>
  </ns0:hyperlinks>
  <ns0:pageMargins left="0.75" right="0.75" top="1" bottom="1" header="0.5" footer="0.5"/>
  <ns0:pageSetup orientation="landscape" paperSize="9" fitToHeight="0" fitToWidth="1"/>
  <ns0:headerFooter>
    <ns0:oddHeader/>
    <ns0:oddFooter>&amp;CFROID Psique | &amp;A | &amp;P / &amp;N</ns0:oddFooter>
    <ns0:evenHeader/>
    <ns0:evenFooter/>
    <ns0:firstHeader/>
    <ns0:firstFooter/>
  </ns0:headerFooter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H18"/>
  <ns0:sheetViews>
    <ns0:sheetView showGridLines="0"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7" customWidth="1" min="1" max="1"/>
    <ns0:col width="22" customWidth="1" min="2" max="2"/>
    <ns0:col width="23" customWidth="1" min="3" max="3"/>
    <ns0:col width="26" customWidth="1" min="4" max="4"/>
    <ns0:col width="14" customWidth="1" min="5" max="5"/>
    <ns0:col width="32" customWidth="1" min="6" max="6"/>
    <ns0:col width="33" customWidth="1" min="7" max="7"/>
    <ns0:col width="80" customWidth="1" min="8" max="8"/>
  </ns0:cols>
  <ns0:sheetData>
    <ns0:row r="1" ht="42" customHeight="1">
      <ns0:c r="A1" s="1" t="inlineStr">
        <ns0:is>
          <ns0:t>APIs | Custo por atendimento</ns0:t>
        </ns0:is>
      </ns0:c>
    </ns0:row>
    <ns0:row r="2" ht="42" customHeight="1">
      <ns0:c r="A2" s="2" t="inlineStr">
        <ns0:is>
          <ns0:t>Quantidade média por atendimento, incluindo gratuitos. Some todo uso pago; entrada com cache não pode ser contada novamente sem cache.</ns0:t>
        </ns0:is>
      </ns0:c>
    </ns0:row>
    <ns0:row r="3"/>
    <ns0:row r="4"/>
    <ns0:row r="5" ht="32" customHeight="1">
      <ns0:c r="A5" s="3" t="inlineStr">
        <ns0:is>
          <ns0:t>Componente</ns0:t>
        </ns0:is>
      </ns0:c>
      <ns0:c r="B5" s="3" t="inlineStr">
        <ns0:is>
          <ns0:t>Quantidade</ns0:t>
        </ns0:is>
      </ns0:c>
      <ns0:c r="C5" s="3" t="inlineStr">
        <ns0:is>
          <ns0:t>Unidade</ns0:t>
        </ns0:is>
      </ns0:c>
      <ns0:c r="D5" s="3" t="inlineStr">
        <ns0:is>
          <ns0:t>Tarifa USD</ns0:t>
        </ns0:is>
      </ns0:c>
      <ns0:c r="E5" s="3" t="inlineStr">
        <ns0:is>
          <ns0:t>Divisor</ns0:t>
        </ns0:is>
      </ns0:c>
      <ns0:c r="F5" s="3" t="inlineStr">
        <ns0:is>
          <ns0:t>USD/atendimento</ns0:t>
        </ns0:is>
      </ns0:c>
      <ns0:c r="G5" s="3" t="inlineStr">
        <ns0:is>
          <ns0:t>BRL/atendimento</ns0:t>
        </ns0:is>
      </ns0:c>
      <ns0:c r="H5" s="3" t="inlineStr">
        <ns0:is>
          <ns0:t>Fonte da medição</ns0:t>
        </ns0:is>
      </ns0:c>
    </ns0:row>
    <ns0:row r="6" ht="44" customHeight="1">
      <ns0:c r="A6" s="4" t="inlineStr">
        <ns0:is>
          <ns0:t>Transcrição paciente</ns0:t>
        </ns0:is>
      </ns0:c>
      <ns0:c r="B6" s="5" t="n"/>
      <ns0:c r="C6" s="4" t="inlineStr">
        <ns0:is>
          <ns0:t>minutos</ns0:t>
        </ns0:is>
      </ns0:c>
      <ns0:c r="D6" s="12">
        <ns0:f>IF(ISNUMBER(Referencias!B6),Referencias!B6,"Sem Capacidade de Apuração")</ns0:f>
        <ns0:v>0.006</ns0:v>
      </ns0:c>
      <ns0:c r="E6" s="4" t="n">
        <ns0:v>1</ns0:v>
      </ns0:c>
      <ns0:c r="F6" s="12" t="str">
        <ns0:f>IF(COUNT(B6)&lt;&gt;1,"Sem Capacidade de Apuração",IF(B6=0,0,IF(COUNT(D6)=1,B6*D6/E6,"Sem Capacidade de Apuração")))</ns0:f>
        <ns0:v>Sem Capacidade de Apuração</ns0:v>
      </ns0:c>
      <ns0:c r="G6" s="13" t="str">
        <ns0:f>IF(ISNUMBER(F6),IF(F6=0,0,IF(AND(ISNUMBER(Premissas!B13),Premissas!B13&gt;0),F6*Premissas!B13,"Sem Capacidade de Apuração")),"Sem Capacidade de Apuração")</ns0:f>
        <ns0:v>Sem Capacidade de Apuração</ns0:v>
      </ns0:c>
      <ns0:c r="H6" s="11" t="n"/>
    </ns0:row>
    <ns0:row r="7" ht="44" customHeight="1">
      <ns0:c r="A7" s="4" t="inlineStr">
        <ns0:is>
          <ns0:t>Transcrição profissional</ns0:t>
        </ns0:is>
      </ns0:c>
      <ns0:c r="B7" s="5" t="n"/>
      <ns0:c r="C7" s="4" t="inlineStr">
        <ns0:is>
          <ns0:t>minutos</ns0:t>
        </ns0:is>
      </ns0:c>
      <ns0:c r="D7" s="12">
        <ns0:f>IF(ISNUMBER(Referencias!B6),Referencias!B6,"Sem Capacidade de Apuração")</ns0:f>
        <ns0:v>0.006</ns0:v>
      </ns0:c>
      <ns0:c r="E7" s="4" t="n">
        <ns0:v>1</ns0:v>
      </ns0:c>
      <ns0:c r="F7" s="12" t="str">
        <ns0:f>IF(COUNT(B7)&lt;&gt;1,"Sem Capacidade de Apuração",IF(B7=0,0,IF(COUNT(D7)=1,B7*D7/E7,"Sem Capacidade de Apuração")))</ns0:f>
        <ns0:v>Sem Capacidade de Apuração</ns0:v>
      </ns0:c>
      <ns0:c r="G7" s="13" t="str">
        <ns0:f>IF(ISNUMBER(F7),IF(F7=0,0,IF(AND(ISNUMBER(Premissas!B13),Premissas!B13&gt;0),F7*Premissas!B13,"Sem Capacidade de Apuração")),"Sem Capacidade de Apuração")</ns0:f>
        <ns0:v>Sem Capacidade de Apuração</ns0:v>
      </ns0:c>
      <ns0:c r="H7" s="11" t="n"/>
    </ns0:row>
    <ns0:row r="8" ht="44" customHeight="1">
      <ns0:c r="A8" s="4" t="inlineStr">
        <ns0:is>
          <ns0:t>Texto OpenAI — entrada sem cache</ns0:t>
        </ns0:is>
      </ns0:c>
      <ns0:c r="B8" s="5" t="n"/>
      <ns0:c r="C8" s="4" t="inlineStr">
        <ns0:is>
          <ns0:t>tokens</ns0:t>
        </ns0:is>
      </ns0:c>
      <ns0:c r="D8" s="12">
        <ns0:f>IF(ISNUMBER(Referencias!B7),Referencias!B7,"Sem Capacidade de Apuração")</ns0:f>
        <ns0:v>0.15</ns0:v>
      </ns0:c>
      <ns0:c r="E8" s="4" t="n">
        <ns0:v>1000000</ns0:v>
      </ns0:c>
      <ns0:c r="F8" s="12" t="str">
        <ns0:f>IF(COUNT(B8)&lt;&gt;1,"Sem Capacidade de Apuração",IF(B8=0,0,IF(COUNT(D8)=1,B8*D8/E8,"Sem Capacidade de Apuração")))</ns0:f>
        <ns0:v>Sem Capacidade de Apuração</ns0:v>
      </ns0:c>
      <ns0:c r="G8" s="13" t="str">
        <ns0:f>IF(ISNUMBER(F8),IF(F8=0,0,IF(AND(ISNUMBER(Premissas!B13),Premissas!B13&gt;0),F8*Premissas!B13,"Sem Capacidade de Apuração")),"Sem Capacidade de Apuração")</ns0:f>
        <ns0:v>Sem Capacidade de Apuração</ns0:v>
      </ns0:c>
      <ns0:c r="H8" s="11" t="n"/>
    </ns0:row>
    <ns0:row r="9" ht="44" customHeight="1">
      <ns0:c r="A9" s="4" t="inlineStr">
        <ns0:is>
          <ns0:t>Texto OpenAI — entrada cache</ns0:t>
        </ns0:is>
      </ns0:c>
      <ns0:c r="B9" s="5" t="n"/>
      <ns0:c r="C9" s="4" t="inlineStr">
        <ns0:is>
          <ns0:t>tokens</ns0:t>
        </ns0:is>
      </ns0:c>
      <ns0:c r="D9" s="12">
        <ns0:f>IF(ISNUMBER(Referencias!B8),Referencias!B8,"Sem Capacidade de Apuração")</ns0:f>
        <ns0:v>0.075</ns0:v>
      </ns0:c>
      <ns0:c r="E9" s="4" t="n">
        <ns0:v>1000000</ns0:v>
      </ns0:c>
      <ns0:c r="F9" s="12" t="str">
        <ns0:f>IF(COUNT(B9)&lt;&gt;1,"Sem Capacidade de Apuração",IF(B9=0,0,IF(COUNT(D9)=1,B9*D9/E9,"Sem Capacidade de Apuração")))</ns0:f>
        <ns0:v>Sem Capacidade de Apuração</ns0:v>
      </ns0:c>
      <ns0:c r="G9" s="13" t="str">
        <ns0:f>IF(ISNUMBER(F9),IF(F9=0,0,IF(AND(ISNUMBER(Premissas!B13),Premissas!B13&gt;0),F9*Premissas!B13,"Sem Capacidade de Apuração")),"Sem Capacidade de Apuração")</ns0:f>
        <ns0:v>Sem Capacidade de Apuração</ns0:v>
      </ns0:c>
      <ns0:c r="H9" s="11" t="n"/>
    </ns0:row>
    <ns0:row r="10" ht="44" customHeight="1">
      <ns0:c r="A10" s="4" t="inlineStr">
        <ns0:is>
          <ns0:t>Texto OpenAI — saída</ns0:t>
        </ns0:is>
      </ns0:c>
      <ns0:c r="B10" s="5" t="n"/>
      <ns0:c r="C10" s="4" t="inlineStr">
        <ns0:is>
          <ns0:t>tokens</ns0:t>
        </ns0:is>
      </ns0:c>
      <ns0:c r="D10" s="12">
        <ns0:f>IF(ISNUMBER(Referencias!B9),Referencias!B9,"Sem Capacidade de Apuração")</ns0:f>
        <ns0:v>0.6</ns0:v>
      </ns0:c>
      <ns0:c r="E10" s="4" t="n">
        <ns0:v>1000000</ns0:v>
      </ns0:c>
      <ns0:c r="F10" s="12" t="str">
        <ns0:f>IF(COUNT(B10)&lt;&gt;1,"Sem Capacidade de Apuração",IF(B10=0,0,IF(COUNT(D10)=1,B10*D10/E10,"Sem Capacidade de Apuração")))</ns0:f>
        <ns0:v>Sem Capacidade de Apuração</ns0:v>
      </ns0:c>
      <ns0:c r="G10" s="13" t="str">
        <ns0:f>IF(ISNUMBER(F10),IF(F10=0,0,IF(AND(ISNUMBER(Premissas!B13),Premissas!B13&gt;0),F10*Premissas!B13,"Sem Capacidade de Apuração")),"Sem Capacidade de Apuração")</ns0:f>
        <ns0:v>Sem Capacidade de Apuração</ns0:v>
      </ns0:c>
      <ns0:c r="H10" s="11" t="n"/>
    </ns0:row>
    <ns0:row r="11" ht="44" customHeight="1">
      <ns0:c r="A11" s="4" t="inlineStr">
        <ns0:is>
          <ns0:t>Embeddings Psique</ns0:t>
        </ns0:is>
      </ns0:c>
      <ns0:c r="B11" s="5" t="n"/>
      <ns0:c r="C11" s="4" t="inlineStr">
        <ns0:is>
          <ns0:t>tokens</ns0:t>
        </ns0:is>
      </ns0:c>
      <ns0:c r="D11" s="12">
        <ns0:f>IF(ISNUMBER(Referencias!B10),Referencias!B10,"Sem Capacidade de Apuração")</ns0:f>
        <ns0:v>0.02</ns0:v>
      </ns0:c>
      <ns0:c r="E11" s="4" t="n">
        <ns0:v>1000000</ns0:v>
      </ns0:c>
      <ns0:c r="F11" s="12" t="str">
        <ns0:f>IF(COUNT(B11)&lt;&gt;1,"Sem Capacidade de Apuração",IF(B11=0,0,IF(COUNT(D11)=1,B11*D11/E11,"Sem Capacidade de Apuração")))</ns0:f>
        <ns0:v>Sem Capacidade de Apuração</ns0:v>
      </ns0:c>
      <ns0:c r="G11" s="13" t="str">
        <ns0:f>IF(ISNUMBER(F11),IF(F11=0,0,IF(AND(ISNUMBER(Premissas!B13),Premissas!B13&gt;0),F11*Premissas!B13,"Sem Capacidade de Apuração")),"Sem Capacidade de Apuração")</ns0:f>
        <ns0:v>Sem Capacidade de Apuração</ns0:v>
      </ns0:c>
      <ns0:c r="H11" s="11" t="n"/>
    </ns0:row>
    <ns0:row r="12" ht="44" customHeight="1">
      <ns0:c r="A12" s="4" t="inlineStr">
        <ns0:is>
          <ns0:t>Gemini — entrada</ns0:t>
        </ns0:is>
      </ns0:c>
      <ns0:c r="B12" s="5" t="n"/>
      <ns0:c r="C12" s="4" t="inlineStr">
        <ns0:is>
          <ns0:t>tokens</ns0:t>
        </ns0:is>
      </ns0:c>
      <ns0:c r="D12" s="12" t="str">
        <ns0:f>IF(ISNUMBER(Referencias!B11),Referencias!B11,"Sem Capacidade de Apuração")</ns0:f>
        <ns0:v>Sem Capacidade de Apuração</ns0:v>
      </ns0:c>
      <ns0:c r="E12" s="4" t="n">
        <ns0:v>1000000</ns0:v>
      </ns0:c>
      <ns0:c r="F12" s="12" t="str">
        <ns0:f>IF(COUNT(B12)&lt;&gt;1,"Sem Capacidade de Apuração",IF(B12=0,0,IF(COUNT(D12)=1,B12*D12/E12,"Sem Capacidade de Apuração")))</ns0:f>
        <ns0:v>Sem Capacidade de Apuração</ns0:v>
      </ns0:c>
      <ns0:c r="G12" s="13" t="str">
        <ns0:f>IF(ISNUMBER(F12),IF(F12=0,0,IF(AND(ISNUMBER(Premissas!B13),Premissas!B13&gt;0),F12*Premissas!B13,"Sem Capacidade de Apuração")),"Sem Capacidade de Apuração")</ns0:f>
        <ns0:v>Sem Capacidade de Apuração</ns0:v>
      </ns0:c>
      <ns0:c r="H12" s="11" t="n"/>
    </ns0:row>
    <ns0:row r="13" ht="44" customHeight="1">
      <ns0:c r="A13" s="4" t="inlineStr">
        <ns0:is>
          <ns0:t>Gemini — saída</ns0:t>
        </ns0:is>
      </ns0:c>
      <ns0:c r="B13" s="5" t="n"/>
      <ns0:c r="C13" s="4" t="inlineStr">
        <ns0:is>
          <ns0:t>tokens</ns0:t>
        </ns0:is>
      </ns0:c>
      <ns0:c r="D13" s="12" t="str">
        <ns0:f>IF(ISNUMBER(Referencias!B12),Referencias!B12,"Sem Capacidade de Apuração")</ns0:f>
        <ns0:v>Sem Capacidade de Apuração</ns0:v>
      </ns0:c>
      <ns0:c r="E13" s="4" t="n">
        <ns0:v>1000000</ns0:v>
      </ns0:c>
      <ns0:c r="F13" s="12" t="str">
        <ns0:f>IF(COUNT(B13)&lt;&gt;1,"Sem Capacidade de Apuração",IF(B13=0,0,IF(COUNT(D13)=1,B13*D13/E13,"Sem Capacidade de Apuração")))</ns0:f>
        <ns0:v>Sem Capacidade de Apuração</ns0:v>
      </ns0:c>
      <ns0:c r="G13" s="13" t="str">
        <ns0:f>IF(ISNUMBER(F13),IF(F13=0,0,IF(AND(ISNUMBER(Premissas!B13),Premissas!B13&gt;0),F13*Premissas!B13,"Sem Capacidade de Apuração")),"Sem Capacidade de Apuração")</ns0:f>
        <ns0:v>Sem Capacidade de Apuração</ns0:v>
      </ns0:c>
      <ns0:c r="H13" s="11" t="n"/>
    </ns0:row>
    <ns0:row r="14" ht="44" customHeight="1">
      <ns0:c r="A14" s="4" t="inlineStr">
        <ns0:is>
          <ns0:t>Outras APIs / conciliação comprovada</ns0:t>
        </ns0:is>
      </ns0:c>
      <ns0:c r="B14" s="5" t="n"/>
      <ns0:c r="C14" s="4" t="inlineStr">
        <ns0:is>
          <ns0:t>unidades</ns0:t>
        </ns0:is>
      </ns0:c>
      <ns0:c r="D14" s="5" t="n"/>
      <ns0:c r="E14" s="4" t="n">
        <ns0:v>1</ns0:v>
      </ns0:c>
      <ns0:c r="F14" s="12" t="str">
        <ns0:f>IF(COUNT(B14)&lt;&gt;1,"Sem Capacidade de Apuração",IF(B14=0,0,IF(COUNT(D14)=1,B14*D14/E14,"Sem Capacidade de Apuração")))</ns0:f>
        <ns0:v>Sem Capacidade de Apuração</ns0:v>
      </ns0:c>
      <ns0:c r="G14" s="13" t="str">
        <ns0:f>IF(ISNUMBER(F14),IF(F14=0,0,IF(AND(ISNUMBER(Premissas!B13),Premissas!B13&gt;0),F14*Premissas!B13,"Sem Capacidade de Apuração")),"Sem Capacidade de Apuração")</ns0:f>
        <ns0:v>Sem Capacidade de Apuração</ns0:v>
      </ns0:c>
      <ns0:c r="H14" s="11" t="n"/>
    </ns0:row>
    <ns0:row r="15"/>
    <ns0:row r="16" ht="44" customHeight="1">
      <ns0:c r="A16" s="4" t="inlineStr">
        <ns0:is>
          <ns0:t>TOTAL IA POR ATENDIMENTO</ns0:t>
        </ns0:is>
      </ns0:c>
      <ns0:c r="G16" s="13" t="str">
        <ns0:f>IF(COUNT(G6:G14)=9,SUM(G6:G14),"Sem Capacidade de Apuração")</ns0:f>
        <ns0:v>Sem Capacidade de Apuração</ns0:v>
      </ns0:c>
    </ns0:row>
    <ns0:row r="17"/>
    <ns0:row r="18" ht="44" customHeight="1">
      <ns0:c r="A18" s="4" t="inlineStr">
        <ns0:is>
          <ns0:t>PENDÊNCIAS</ns0:t>
        </ns0:is>
      </ns0:c>
      <ns0:c r="G18" s="6">
        <ns0:f>9-COUNT(G6:G14)</ns0:f>
        <ns0:v>9.0</ns0:v>
      </ns0:c>
    </ns0:row>
  </ns0:sheetData>
  <ns0:mergeCells count="2">
    <ns0:mergeCell ref="A2:H2"/>
    <ns0:mergeCell ref="A1:H1"/>
  </ns0:mergeCells>
  <ns0:dataValidations count="2">
    <ns0:dataValidation sqref="B6:B14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  <ns0:dataValidation sqref="D14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</ns0:dataValidations>
  <ns0:pageMargins left="0.75" right="0.75" top="1" bottom="1" header="0.5" footer="0.5"/>
  <ns0:pageSetup orientation="landscape" paperSize="9" fitToHeight="0" fitToWidth="1"/>
  <ns0:headerFooter>
    <ns0:oddHeader/>
    <ns0:oddFooter>&amp;CFROID Psique | &amp;A | &amp;P / &amp;N</ns0:oddFooter>
    <ns0:evenHeader/>
    <ns0:evenFooter/>
    <ns0:firstHeader/>
    <ns0:firstFooter/>
  </ns0:headerFooter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H37"/>
  <ns0:sheetViews>
    <ns0:sheetView showGridLines="0"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7" customWidth="1" min="1" max="1"/>
    <ns0:col width="24" customWidth="1" min="2" max="2"/>
    <ns0:col width="24" customWidth="1" min="3" max="3"/>
    <ns0:col width="14" customWidth="1" min="4" max="4"/>
    <ns0:col width="20" customWidth="1" min="5" max="5"/>
    <ns0:col width="34" customWidth="1" min="6" max="6"/>
    <ns0:col width="92" customWidth="1" min="7" max="7"/>
    <ns0:col width="18" customWidth="1" min="8" max="8"/>
  </ns0:cols>
  <ns0:sheetData>
    <ns0:row r="1" ht="42" customHeight="1">
      <ns0:c r="A1" s="1" t="inlineStr">
        <ns0:is>
          <ns0:t>CUSTOS MENSAIS | Faturas e estrutura</ns0:t>
        </ns0:is>
      </ns0:c>
    </ns0:row>
    <ns0:row r="2" ht="42" customHeight="1">
      <ns0:c r="A2" s="2" t="inlineStr">
        <ns0:is>
          <ns0:t>Classifique todas as linhas. Não se aplica exige justificativa. Valor 0 exige confirmação de ausência de gasto. Documente o rateio.</ns0:t>
        </ns0:is>
      </ns0:c>
    </ns0:row>
    <ns0:row r="3"/>
    <ns0:row r="4"/>
    <ns0:row r="5" ht="32" customHeight="1">
      <ns0:c r="A5" s="3" t="inlineStr">
        <ns0:is>
          <ns0:t>Item</ns0:t>
        </ns0:is>
      </ns0:c>
      <ns0:c r="B5" s="3" t="inlineStr">
        <ns0:is>
          <ns0:t>Tratamento</ns0:t>
        </ns0:is>
      </ns0:c>
      <ns0:c r="C5" s="3" t="inlineStr">
        <ns0:is>
          <ns0:t>Valor da fatura</ns0:t>
        </ns0:is>
      </ns0:c>
      <ns0:c r="D5" s="3" t="inlineStr">
        <ns0:is>
          <ns0:t>Moeda</ns0:t>
        </ns0:is>
      </ns0:c>
      <ns0:c r="E5" s="3" t="inlineStr">
        <ns0:is>
          <ns0:t>Rateio Psique</ns0:t>
        </ns0:is>
      </ns0:c>
      <ns0:c r="F5" s="3" t="inlineStr">
        <ns0:is>
          <ns0:t>BRL/mês</ns0:t>
        </ns0:is>
      </ns0:c>
      <ns0:c r="G5" s="3" t="inlineStr">
        <ns0:is>
          <ns0:t>Fonte / justificativa</ns0:t>
        </ns0:is>
      </ns0:c>
      <ns0:c r="H5" s="3" t="inlineStr">
        <ns0:is>
          <ns0:t>Situação</ns0:t>
        </ns0:is>
      </ns0:c>
    </ns0:row>
    <ns0:row r="6" ht="44" customHeight="1">
      <ns0:c r="A6" s="4" t="inlineStr">
        <ns0:is>
          <ns0:t>Servidor Hetzner / computação</ns0:t>
        </ns0:is>
      </ns0:c>
      <ns0:c r="B6" s="11" t="inlineStr">
        <ns0:is>
          <ns0:t>Pendente</ns0:t>
        </ns0:is>
      </ns0:c>
      <ns0:c r="C6" s="5" t="n"/>
      <ns0:c r="D6" s="11" t="n"/>
      <ns0:c r="E6" s="8" t="n"/>
      <ns0:c r="F6" s="13" t="str">
        <ns0:f>IF(B6="Não se aplica",IF(G6&lt;&gt;"",0,"Sem Capacidade de Apuração"),IF(AND(B6="Informado",COUNT(C6,E6)=2,C6&gt;=0,E6&gt;=0,E6&lt;=1,G6&lt;&gt;""),IF(ISNUMBER(IF(D6="BRL",1,IF(D6="USD",IF(AND(ISNUMBER(Premissas!B13),Premissas!B13&gt;0),Premissas!B13,"Sem Capacidade de Apuração"),IF(D6="EUR",IF(AND(ISNUMBER(Premissas!B14),Premissas!B14&gt;0),Premissas!B14,"Sem Capacidade de Apuração"),"Sem Capacidade de Apuração")))),C6*E6*IF(D6="BRL",1,IF(D6="USD",IF(AND(ISNUMBER(Premissas!B13),Premissas!B13&gt;0),Premissas!B13,"Sem Capacidade de Apuração"),IF(D6="EUR",IF(AND(ISNUMBER(Premissas!B14),Premissas!B14&gt;0),Premissas!B14,"Sem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6" s="11" t="n"/>
      <ns0:c r="H6" s="14" t="str">
        <ns0:f>IF(ISNUMBER(F6),"OK","Pendente")</ns0:f>
        <ns0:v>Pendente</ns0:v>
      </ns0:c>
    </ns0:row>
    <ns0:row r="7" ht="44" customHeight="1">
      <ns0:c r="A7" s="4" t="inlineStr">
        <ns0:is>
          <ns0:t>Banco de dados / volume adicional</ns0:t>
        </ns0:is>
      </ns0:c>
      <ns0:c r="B7" s="11" t="inlineStr">
        <ns0:is>
          <ns0:t>Pendente</ns0:t>
        </ns0:is>
      </ns0:c>
      <ns0:c r="C7" s="5" t="n"/>
      <ns0:c r="D7" s="11" t="n"/>
      <ns0:c r="E7" s="8" t="n"/>
      <ns0:c r="F7" s="13" t="str">
        <ns0:f>IF(B7="Não se aplica",IF(G7&lt;&gt;"",0,"Sem Capacidade de Apuração"),IF(AND(B7="Informado",COUNT(C7,E7)=2,C7&gt;=0,E7&gt;=0,E7&lt;=1,G7&lt;&gt;""),IF(ISNUMBER(IF(D7="BRL",1,IF(D7="USD",IF(AND(ISNUMBER(Premissas!B13),Premissas!B13&gt;0),Premissas!B13,"Sem Capacidade de Apuração"),IF(D7="EUR",IF(AND(ISNUMBER(Premissas!B14),Premissas!B14&gt;0),Premissas!B14,"Sem Capacidade de Apuração"),"Sem Capacidade de Apuração")))),C7*E7*IF(D7="BRL",1,IF(D7="USD",IF(AND(ISNUMBER(Premissas!B13),Premissas!B13&gt;0),Premissas!B13,"Sem Capacidade de Apuração"),IF(D7="EUR",IF(AND(ISNUMBER(Premissas!B14),Premissas!B14&gt;0),Premissas!B14,"Sem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7" s="11" t="n"/>
      <ns0:c r="H7" s="14" t="str">
        <ns0:f>IF(ISNUMBER(F7),"OK","Pendente")</ns0:f>
        <ns0:v>Pendente</ns0:v>
      </ns0:c>
    </ns0:row>
    <ns0:row r="8" ht="44" customHeight="1">
      <ns0:c r="A8" s="4" t="inlineStr">
        <ns0:is>
          <ns0:t>Backups / snapshots / recuperação</ns0:t>
        </ns0:is>
      </ns0:c>
      <ns0:c r="B8" s="11" t="inlineStr">
        <ns0:is>
          <ns0:t>Pendente</ns0:t>
        </ns0:is>
      </ns0:c>
      <ns0:c r="C8" s="5" t="n"/>
      <ns0:c r="D8" s="11" t="n"/>
      <ns0:c r="E8" s="8" t="n"/>
      <ns0:c r="F8" s="13" t="str">
        <ns0:f>IF(B8="Não se aplica",IF(G8&lt;&gt;"",0,"Sem Capacidade de Apuração"),IF(AND(B8="Informado",COUNT(C8,E8)=2,C8&gt;=0,E8&gt;=0,E8&lt;=1,G8&lt;&gt;""),IF(ISNUMBER(IF(D8="BRL",1,IF(D8="USD",IF(AND(ISNUMBER(Premissas!B13),Premissas!B13&gt;0),Premissas!B13,"Sem Capacidade de Apuração"),IF(D8="EUR",IF(AND(ISNUMBER(Premissas!B14),Premissas!B14&gt;0),Premissas!B14,"Sem Capacidade de Apuração"),"Sem Capacidade de Apuração")))),C8*E8*IF(D8="BRL",1,IF(D8="USD",IF(AND(ISNUMBER(Premissas!B13),Premissas!B13&gt;0),Premissas!B13,"Sem Capacidade de Apuração"),IF(D8="EUR",IF(AND(ISNUMBER(Premissas!B14),Premissas!B14&gt;0),Premissas!B14,"Sem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8" s="11" t="n"/>
      <ns0:c r="H8" s="14" t="str">
        <ns0:f>IF(ISNUMBER(F8),"OK","Pendente")</ns0:f>
        <ns0:v>Pendente</ns0:v>
      </ns0:c>
    </ns0:row>
    <ns0:row r="9" ht="44" customHeight="1">
      <ns0:c r="A9" s="4" t="inlineStr">
        <ns0:is>
          <ns0:t>Armazenamento de históricos e documentos</ns0:t>
        </ns0:is>
      </ns0:c>
      <ns0:c r="B9" s="11" t="inlineStr">
        <ns0:is>
          <ns0:t>Pendente</ns0:t>
        </ns0:is>
      </ns0:c>
      <ns0:c r="C9" s="5" t="n"/>
      <ns0:c r="D9" s="11" t="n"/>
      <ns0:c r="E9" s="8" t="n"/>
      <ns0:c r="F9" s="13" t="str">
        <ns0:f>IF(B9="Não se aplica",IF(G9&lt;&gt;"",0,"Sem Capacidade de Apuração"),IF(AND(B9="Informado",COUNT(C9,E9)=2,C9&gt;=0,E9&gt;=0,E9&lt;=1,G9&lt;&gt;""),IF(ISNUMBER(IF(D9="BRL",1,IF(D9="USD",IF(AND(ISNUMBER(Premissas!B13),Premissas!B13&gt;0),Premissas!B13,"Sem Capacidade de Apuração"),IF(D9="EUR",IF(AND(ISNUMBER(Premissas!B14),Premissas!B14&gt;0),Premissas!B14,"Sem Capacidade de Apuração"),"Sem Capacidade de Apuração")))),C9*E9*IF(D9="BRL",1,IF(D9="USD",IF(AND(ISNUMBER(Premissas!B13),Premissas!B13&gt;0),Premissas!B13,"Sem Capacidade de Apuração"),IF(D9="EUR",IF(AND(ISNUMBER(Premissas!B14),Premissas!B14&gt;0),Premissas!B14,"Sem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9" s="11" t="n"/>
      <ns0:c r="H9" s="14" t="str">
        <ns0:f>IF(ISNUMBER(F9),"OK","Pendente")</ns0:f>
        <ns0:v>Pendente</ns0:v>
      </ns0:c>
    </ns0:row>
    <ns0:row r="10" ht="44" customHeight="1">
      <ns0:c r="A10" s="4" t="inlineStr">
        <ns0:is>
          <ns0:t>TURN / conectividade / tráfego contratado</ns0:t>
        </ns0:is>
      </ns0:c>
      <ns0:c r="B10" s="11" t="inlineStr">
        <ns0:is>
          <ns0:t>Pendente</ns0:t>
        </ns0:is>
      </ns0:c>
      <ns0:c r="C10" s="5" t="n"/>
      <ns0:c r="D10" s="11" t="n"/>
      <ns0:c r="E10" s="8" t="n"/>
      <ns0:c r="F10" s="13" t="str">
        <ns0:f>IF(B10="Não se aplica",IF(G10&lt;&gt;"",0,"Sem Capacidade de Apuração"),IF(AND(B10="Informado",COUNT(C10,E10)=2,C10&gt;=0,E10&gt;=0,E10&lt;=1,G10&lt;&gt;""),IF(ISNUMBER(IF(D10="BRL",1,IF(D10="USD",IF(AND(ISNUMBER(Premissas!B13),Premissas!B13&gt;0),Premissas!B13,"Sem Capacidade de Apuração"),IF(D10="EUR",IF(AND(ISNUMBER(Premissas!B14),Premissas!B14&gt;0),Premissas!B14,"Sem Capacidade de Apuração"),"Sem Capacidade de Apuração")))),C10*E10*IF(D10="BRL",1,IF(D10="USD",IF(AND(ISNUMBER(Premissas!B13),Premissas!B13&gt;0),Premissas!B13,"Sem Capacidade de Apuração"),IF(D10="EUR",IF(AND(ISNUMBER(Premissas!B14),Premissas!B14&gt;0),Premissas!B14,"Sem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10" s="11" t="n"/>
      <ns0:c r="H10" s="14" t="str">
        <ns0:f>IF(ISNUMBER(F10),"OK","Pendente")</ns0:f>
        <ns0:v>Pendente</ns0:v>
      </ns0:c>
    </ns0:row>
    <ns0:row r="11" ht="44" customHeight="1">
      <ns0:c r="A11" s="4" t="inlineStr">
        <ns0:is>
          <ns0:t>CDN / DNS / proteção de borda</ns0:t>
        </ns0:is>
      </ns0:c>
      <ns0:c r="B11" s="11" t="inlineStr">
        <ns0:is>
          <ns0:t>Pendente</ns0:t>
        </ns0:is>
      </ns0:c>
      <ns0:c r="C11" s="5" t="n"/>
      <ns0:c r="D11" s="11" t="n"/>
      <ns0:c r="E11" s="8" t="n"/>
      <ns0:c r="F11" s="13" t="str">
        <ns0:f>IF(B11="Não se aplica",IF(G11&lt;&gt;"",0,"Sem Capacidade de Apuração"),IF(AND(B11="Informado",COUNT(C11,E11)=2,C11&gt;=0,E11&gt;=0,E11&lt;=1,G11&lt;&gt;""),IF(ISNUMBER(IF(D11="BRL",1,IF(D11="USD",IF(AND(ISNUMBER(Premissas!B13),Premissas!B13&gt;0),Premissas!B13,"Sem Capacidade de Apuração"),IF(D11="EUR",IF(AND(ISNUMBER(Premissas!B14),Premissas!B14&gt;0),Premissas!B14,"Sem Capacidade de Apuração"),"Sem Capacidade de Apuração")))),C11*E11*IF(D11="BRL",1,IF(D11="USD",IF(AND(ISNUMBER(Premissas!B13),Premissas!B13&gt;0),Premissas!B13,"Sem Capacidade de Apuração"),IF(D11="EUR",IF(AND(ISNUMBER(Premissas!B14),Premissas!B14&gt;0),Premissas!B14,"Sem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11" s="11" t="n"/>
      <ns0:c r="H11" s="14" t="str">
        <ns0:f>IF(ISNUMBER(F11),"OK","Pendente")</ns0:f>
        <ns0:v>Pendente</ns0:v>
      </ns0:c>
    </ns0:row>
    <ns0:row r="12" ht="44" customHeight="1">
      <ns0:c r="A12" s="4" t="inlineStr">
        <ns0:is>
          <ns0:t>Domínio (mensalizar custo anual)</ns0:t>
        </ns0:is>
      </ns0:c>
      <ns0:c r="B12" s="11" t="inlineStr">
        <ns0:is>
          <ns0:t>Pendente</ns0:t>
        </ns0:is>
      </ns0:c>
      <ns0:c r="C12" s="5" t="n"/>
      <ns0:c r="D12" s="11" t="n"/>
      <ns0:c r="E12" s="8" t="n"/>
      <ns0:c r="F12" s="13" t="str">
        <ns0:f>IF(B12="Não se aplica",IF(G12&lt;&gt;"",0,"Sem Capacidade de Apuração"),IF(AND(B12="Informado",COUNT(C12,E12)=2,C12&gt;=0,E12&gt;=0,E12&lt;=1,G12&lt;&gt;""),IF(ISNUMBER(IF(D12="BRL",1,IF(D12="USD",IF(AND(ISNUMBER(Premissas!B13),Premissas!B13&gt;0),Premissas!B13,"Sem Capacidade de Apuração"),IF(D12="EUR",IF(AND(ISNUMBER(Premissas!B14),Premissas!B14&gt;0),Premissas!B14,"Sem Capacidade de Apuração"),"Sem Capacidade de Apuração")))),C12*E12*IF(D12="BRL",1,IF(D12="USD",IF(AND(ISNUMBER(Premissas!B13),Premissas!B13&gt;0),Premissas!B13,"Sem Capacidade de Apuração"),IF(D12="EUR",IF(AND(ISNUMBER(Premissas!B14),Premissas!B14&gt;0),Premissas!B14,"Sem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12" s="11" t="n"/>
      <ns0:c r="H12" s="14" t="str">
        <ns0:f>IF(ISNUMBER(F12),"OK","Pendente")</ns0:f>
        <ns0:v>Pendente</ns0:v>
      </ns0:c>
    </ns0:row>
    <ns0:row r="13" ht="44" customHeight="1">
      <ns0:c r="A13" s="4" t="inlineStr">
        <ns0:is>
          <ns0:t>E-mail transacional / SMTP</ns0:t>
        </ns0:is>
      </ns0:c>
      <ns0:c r="B13" s="11" t="inlineStr">
        <ns0:is>
          <ns0:t>Pendente</ns0:t>
        </ns0:is>
      </ns0:c>
      <ns0:c r="C13" s="5" t="n"/>
      <ns0:c r="D13" s="11" t="n"/>
      <ns0:c r="E13" s="8" t="n"/>
      <ns0:c r="F13" s="13" t="str">
        <ns0:f>IF(B13="Não se aplica",IF(G13&lt;&gt;"",0,"Sem Capacidade de Apuração"),IF(AND(B13="Informado",COUNT(C13,E13)=2,C13&gt;=0,E13&gt;=0,E13&lt;=1,G13&lt;&gt;""),IF(ISNUMBER(IF(D13="BRL",1,IF(D13="USD",IF(AND(ISNUMBER(Premissas!B13),Premissas!B13&gt;0),Premissas!B13,"Sem Capacidade de Apuração"),IF(D13="EUR",IF(AND(ISNUMBER(Premissas!B14),Premissas!B14&gt;0),Premissas!B14,"Sem Capacidade de Apuração"),"Sem Capacidade de Apuração")))),C13*E13*IF(D13="BRL",1,IF(D13="USD",IF(AND(ISNUMBER(Premissas!B13),Premissas!B13&gt;0),Premissas!B13,"Sem Capacidade de Apuração"),IF(D13="EUR",IF(AND(ISNUMBER(Premissas!B14),Premissas!B14&gt;0),Premissas!B14,"Sem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13" s="11" t="n"/>
      <ns0:c r="H13" s="14" t="str">
        <ns0:f>IF(ISNUMBER(F13),"OK","Pendente")</ns0:f>
        <ns0:v>Pendente</ns0:v>
      </ns0:c>
    </ns0:row>
    <ns0:row r="14" ht="44" customHeight="1">
      <ns0:c r="A14" s="4" t="inlineStr">
        <ns0:is>
          <ns0:t>Monitoramento / logs / alertas</ns0:t>
        </ns0:is>
      </ns0:c>
      <ns0:c r="B14" s="11" t="inlineStr">
        <ns0:is>
          <ns0:t>Pendente</ns0:t>
        </ns0:is>
      </ns0:c>
      <ns0:c r="C14" s="5" t="n"/>
      <ns0:c r="D14" s="11" t="n"/>
      <ns0:c r="E14" s="8" t="n"/>
      <ns0:c r="F14" s="13" t="str">
        <ns0:f>IF(B14="Não se aplica",IF(G14&lt;&gt;"",0,"Sem Capacidade de Apuração"),IF(AND(B14="Informado",COUNT(C14,E14)=2,C14&gt;=0,E14&gt;=0,E14&lt;=1,G14&lt;&gt;""),IF(ISNUMBER(IF(D14="BRL",1,IF(D14="USD",IF(AND(ISNUMBER(Premissas!B13),Premissas!B13&gt;0),Premissas!B13,"Sem Capacidade de Apuração"),IF(D14="EUR",IF(AND(ISNUMBER(Premissas!B14),Premissas!B14&gt;0),Premissas!B14,"Sem Capacidade de Apuração"),"Sem Capacidade de Apuração")))),C14*E14*IF(D14="BRL",1,IF(D14="USD",IF(AND(ISNUMBER(Premissas!B13),Premissas!B13&gt;0),Premissas!B13,"Sem Capacidade de Apuração"),IF(D14="EUR",IF(AND(ISNUMBER(Premissas!B14),Premissas!B14&gt;0),Premissas!B14,"Sem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14" s="11" t="n"/>
      <ns0:c r="H14" s="14" t="str">
        <ns0:f>IF(ISNUMBER(F14),"OK","Pendente")</ns0:f>
        <ns0:v>Pendente</ns0:v>
      </ns0:c>
    </ns0:row>
    <ns0:row r="15" ht="44" customHeight="1">
      <ns0:c r="A15" s="4" t="inlineStr">
        <ns0:is>
          <ns0:t>Segurança / auditoria / testes</ns0:t>
        </ns0:is>
      </ns0:c>
      <ns0:c r="B15" s="11" t="inlineStr">
        <ns0:is>
          <ns0:t>Pendente</ns0:t>
        </ns0:is>
      </ns0:c>
      <ns0:c r="C15" s="5" t="n"/>
      <ns0:c r="D15" s="11" t="n"/>
      <ns0:c r="E15" s="8" t="n"/>
      <ns0:c r="F15" s="13" t="str">
        <ns0:f>IF(B15="Não se aplica",IF(G15&lt;&gt;"",0,"Sem Capacidade de Apuração"),IF(AND(B15="Informado",COUNT(C15,E15)=2,C15&gt;=0,E15&gt;=0,E15&lt;=1,G15&lt;&gt;""),IF(ISNUMBER(IF(D15="BRL",1,IF(D15="USD",IF(AND(ISNUMBER(Premissas!B13),Premissas!B13&gt;0),Premissas!B13,"Sem Capacidade de Apuração"),IF(D15="EUR",IF(AND(ISNUMBER(Premissas!B14),Premissas!B14&gt;0),Premissas!B14,"Sem Capacidade de Apuração"),"Sem Capacidade de Apuração")))),C15*E15*IF(D15="BRL",1,IF(D15="USD",IF(AND(ISNUMBER(Premissas!B13),Premissas!B13&gt;0),Premissas!B13,"Sem Capacidade de Apuração"),IF(D15="EUR",IF(AND(ISNUMBER(Premissas!B14),Premissas!B14&gt;0),Premissas!B14,"Sem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15" s="11" t="n"/>
      <ns0:c r="H15" s="14" t="str">
        <ns0:f>IF(ISNUMBER(F15),"OK","Pendente")</ns0:f>
        <ns0:v>Pendente</ns0:v>
      </ns0:c>
    </ns0:row>
    <ns0:row r="16" ht="44" customHeight="1">
      <ns0:c r="A16" s="4" t="inlineStr">
        <ns0:is>
          <ns0:t>Suporte fixo / atendimento ao cliente</ns0:t>
        </ns0:is>
      </ns0:c>
      <ns0:c r="B16" s="11" t="inlineStr">
        <ns0:is>
          <ns0:t>Pendente</ns0:t>
        </ns0:is>
      </ns0:c>
      <ns0:c r="C16" s="5" t="n"/>
      <ns0:c r="D16" s="11" t="n"/>
      <ns0:c r="E16" s="8" t="n"/>
      <ns0:c r="F16" s="13" t="str">
        <ns0:f>IF(B16="Não se aplica",IF(G16&lt;&gt;"",0,"Sem Capacidade de Apuração"),IF(AND(B16="Informado",COUNT(C16,E16)=2,C16&gt;=0,E16&gt;=0,E16&lt;=1,G16&lt;&gt;""),IF(ISNUMBER(IF(D16="BRL",1,IF(D16="USD",IF(AND(ISNUMBER(Premissas!B13),Premissas!B13&gt;0),Premissas!B13,"Sem Capacidade de Apuração"),IF(D16="EUR",IF(AND(ISNUMBER(Premissas!B14),Premissas!B14&gt;0),Premissas!B14,"Sem Capacidade de Apuração"),"Sem Capacidade de Apuração")))),C16*E16*IF(D16="BRL",1,IF(D16="USD",IF(AND(ISNUMBER(Premissas!B13),Premissas!B13&gt;0),Premissas!B13,"Sem Capacidade de Apuração"),IF(D16="EUR",IF(AND(ISNUMBER(Premissas!B14),Premissas!B14&gt;0),Premissas!B14,"Sem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16" s="11" t="n"/>
      <ns0:c r="H16" s="14" t="str">
        <ns0:f>IF(ISNUMBER(F16),"OK","Pendente")</ns0:f>
        <ns0:v>Pendente</ns0:v>
      </ns0:c>
    </ns0:row>
    <ns0:row r="17" ht="44" customHeight="1">
      <ns0:c r="A17" s="4" t="inlineStr">
        <ns0:is>
          <ns0:t>Manutenção / desenvolvimento recorrente</ns0:t>
        </ns0:is>
      </ns0:c>
      <ns0:c r="B17" s="11" t="inlineStr">
        <ns0:is>
          <ns0:t>Pendente</ns0:t>
        </ns0:is>
      </ns0:c>
      <ns0:c r="C17" s="5" t="n"/>
      <ns0:c r="D17" s="11" t="n"/>
      <ns0:c r="E17" s="8" t="n"/>
      <ns0:c r="F17" s="13" t="str">
        <ns0:f>IF(B17="Não se aplica",IF(G17&lt;&gt;"",0,"Sem Capacidade de Apuração"),IF(AND(B17="Informado",COUNT(C17,E17)=2,C17&gt;=0,E17&gt;=0,E17&lt;=1,G17&lt;&gt;""),IF(ISNUMBER(IF(D17="BRL",1,IF(D17="USD",IF(AND(ISNUMBER(Premissas!B13),Premissas!B13&gt;0),Premissas!B13,"Sem Capacidade de Apuração"),IF(D17="EUR",IF(AND(ISNUMBER(Premissas!B14),Premissas!B14&gt;0),Premissas!B14,"Sem Capacidade de Apuração"),"Sem Capacidade de Apuração")))),C17*E17*IF(D17="BRL",1,IF(D17="USD",IF(AND(ISNUMBER(Premissas!B13),Premissas!B13&gt;0),Premissas!B13,"Sem Capacidade de Apuração"),IF(D17="EUR",IF(AND(ISNUMBER(Premissas!B14),Premissas!B14&gt;0),Premissas!B14,"Sem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17" s="11" t="n"/>
      <ns0:c r="H17" s="14" t="str">
        <ns0:f>IF(ISNUMBER(F17),"OK","Pendente")</ns0:f>
        <ns0:v>Pendente</ns0:v>
      </ns0:c>
    </ns0:row>
    <ns0:row r="18" ht="44" customHeight="1">
      <ns0:c r="A18" s="4" t="inlineStr">
        <ns0:is>
          <ns0:t>Pró-labore e encargos dos sócios</ns0:t>
        </ns0:is>
      </ns0:c>
      <ns0:c r="B18" s="11" t="inlineStr">
        <ns0:is>
          <ns0:t>Pendente</ns0:t>
        </ns0:is>
      </ns0:c>
      <ns0:c r="C18" s="5" t="n"/>
      <ns0:c r="D18" s="11" t="n"/>
      <ns0:c r="E18" s="8" t="n"/>
      <ns0:c r="F18" s="13" t="str">
        <ns0:f>IF(B18="Não se aplica",IF(G18&lt;&gt;"",0,"Sem Capacidade de Apuração"),IF(AND(B18="Informado",COUNT(C18,E18)=2,C18&gt;=0,E18&gt;=0,E18&lt;=1,G18&lt;&gt;""),IF(ISNUMBER(IF(D18="BRL",1,IF(D18="USD",IF(AND(ISNUMBER(Premissas!B13),Premissas!B13&gt;0),Premissas!B13,"Sem Capacidade de Apuração"),IF(D18="EUR",IF(AND(ISNUMBER(Premissas!B14),Premissas!B14&gt;0),Premissas!B14,"Sem Capacidade de Apuração"),"Sem Capacidade de Apuração")))),C18*E18*IF(D18="BRL",1,IF(D18="USD",IF(AND(ISNUMBER(Premissas!B13),Premissas!B13&gt;0),Premissas!B13,"Sem Capacidade de Apuração"),IF(D18="EUR",IF(AND(ISNUMBER(Premissas!B14),Premissas!B14&gt;0),Premissas!B14,"Sem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18" s="11" t="n"/>
      <ns0:c r="H18" s="14" t="str">
        <ns0:f>IF(ISNUMBER(F18),"OK","Pendente")</ns0:f>
        <ns0:v>Pendente</ns0:v>
      </ns0:c>
    </ns0:row>
    <ns0:row r="19" ht="44" customHeight="1">
      <ns0:c r="A19" s="4" t="inlineStr">
        <ns0:is>
          <ns0:t>Equipe administrativa / encargos</ns0:t>
        </ns0:is>
      </ns0:c>
      <ns0:c r="B19" s="11" t="inlineStr">
        <ns0:is>
          <ns0:t>Pendente</ns0:t>
        </ns0:is>
      </ns0:c>
      <ns0:c r="C19" s="5" t="n"/>
      <ns0:c r="D19" s="11" t="n"/>
      <ns0:c r="E19" s="8" t="n"/>
      <ns0:c r="F19" s="13" t="str">
        <ns0:f>IF(B19="Não se aplica",IF(G19&lt;&gt;"",0,"Sem Capacidade de Apuração"),IF(AND(B19="Informado",COUNT(C19,E19)=2,C19&gt;=0,E19&gt;=0,E19&lt;=1,G19&lt;&gt;""),IF(ISNUMBER(IF(D19="BRL",1,IF(D19="USD",IF(AND(ISNUMBER(Premissas!B13),Premissas!B13&gt;0),Premissas!B13,"Sem Capacidade de Apuração"),IF(D19="EUR",IF(AND(ISNUMBER(Premissas!B14),Premissas!B14&gt;0),Premissas!B14,"Sem Capacidade de Apuração"),"Sem Capacidade de Apuração")))),C19*E19*IF(D19="BRL",1,IF(D19="USD",IF(AND(ISNUMBER(Premissas!B13),Premissas!B13&gt;0),Premissas!B13,"Sem Capacidade de Apuração"),IF(D19="EUR",IF(AND(ISNUMBER(Premissas!B14),Premissas!B14&gt;0),Premissas!B14,"Sem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19" s="11" t="n"/>
      <ns0:c r="H19" s="14" t="str">
        <ns0:f>IF(ISNUMBER(F19),"OK","Pendente")</ns0:f>
        <ns0:v>Pendente</ns0:v>
      </ns0:c>
    </ns0:row>
    <ns0:row r="20" ht="44" customHeight="1">
      <ns0:c r="A20" s="4" t="inlineStr">
        <ns0:is>
          <ns0:t>Equipe técnica / encargos</ns0:t>
        </ns0:is>
      </ns0:c>
      <ns0:c r="B20" s="11" t="inlineStr">
        <ns0:is>
          <ns0:t>Pendente</ns0:t>
        </ns0:is>
      </ns0:c>
      <ns0:c r="C20" s="5" t="n"/>
      <ns0:c r="D20" s="11" t="n"/>
      <ns0:c r="E20" s="8" t="n"/>
      <ns0:c r="F20" s="13" t="str">
        <ns0:f>IF(B20="Não se aplica",IF(G20&lt;&gt;"",0,"Sem Capacidade de Apuração"),IF(AND(B20="Informado",COUNT(C20,E20)=2,C20&gt;=0,E20&gt;=0,E20&lt;=1,G20&lt;&gt;""),IF(ISNUMBER(IF(D20="BRL",1,IF(D20="USD",IF(AND(ISNUMBER(Premissas!B13),Premissas!B13&gt;0),Premissas!B13,"Sem Capacidade de Apuração"),IF(D20="EUR",IF(AND(ISNUMBER(Premissas!B14),Premissas!B14&gt;0),Premissas!B14,"Sem Capacidade de Apuração"),"Sem Capacidade de Apuração")))),C20*E20*IF(D20="BRL",1,IF(D20="USD",IF(AND(ISNUMBER(Premissas!B13),Premissas!B13&gt;0),Premissas!B13,"Sem Capacidade de Apuração"),IF(D20="EUR",IF(AND(ISNUMBER(Premissas!B14),Premissas!B14&gt;0),Premissas!B14,"Sem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20" s="11" t="n"/>
      <ns0:c r="H20" s="14" t="str">
        <ns0:f>IF(ISNUMBER(F20),"OK","Pendente")</ns0:f>
        <ns0:v>Pendente</ns0:v>
      </ns0:c>
    </ns0:row>
    <ns0:row r="21" ht="44" customHeight="1">
      <ns0:c r="A21" s="4" t="inlineStr">
        <ns0:is>
          <ns0:t>Equipe comercial / parcela fixa</ns0:t>
        </ns0:is>
      </ns0:c>
      <ns0:c r="B21" s="11" t="inlineStr">
        <ns0:is>
          <ns0:t>Pendente</ns0:t>
        </ns0:is>
      </ns0:c>
      <ns0:c r="C21" s="5" t="n"/>
      <ns0:c r="D21" s="11" t="n"/>
      <ns0:c r="E21" s="8" t="n"/>
      <ns0:c r="F21" s="13" t="str">
        <ns0:f>IF(B21="Não se aplica",IF(G21&lt;&gt;"",0,"Sem Capacidade de Apuração"),IF(AND(B21="Informado",COUNT(C21,E21)=2,C21&gt;=0,E21&gt;=0,E21&lt;=1,G21&lt;&gt;""),IF(ISNUMBER(IF(D21="BRL",1,IF(D21="USD",IF(AND(ISNUMBER(Premissas!B13),Premissas!B13&gt;0),Premissas!B13,"Sem Capacidade de Apuração"),IF(D21="EUR",IF(AND(ISNUMBER(Premissas!B14),Premissas!B14&gt;0),Premissas!B14,"Sem Capacidade de Apuração"),"Sem Capacidade de Apuração")))),C21*E21*IF(D21="BRL",1,IF(D21="USD",IF(AND(ISNUMBER(Premissas!B13),Premissas!B13&gt;0),Premissas!B13,"Sem Capacidade de Apuração"),IF(D21="EUR",IF(AND(ISNUMBER(Premissas!B14),Premissas!B14&gt;0),Premissas!B14,"Sem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21" s="11" t="n"/>
      <ns0:c r="H21" s="14" t="str">
        <ns0:f>IF(ISNUMBER(F21),"OK","Pendente")</ns0:f>
        <ns0:v>Pendente</ns0:v>
      </ns0:c>
    </ns0:row>
    <ns0:row r="22" ht="44" customHeight="1">
      <ns0:c r="A22" s="4" t="inlineStr">
        <ns0:is>
          <ns0:t>Contabilidade / obrigações fiscais</ns0:t>
        </ns0:is>
      </ns0:c>
      <ns0:c r="B22" s="11" t="inlineStr">
        <ns0:is>
          <ns0:t>Pendente</ns0:t>
        </ns0:is>
      </ns0:c>
      <ns0:c r="C22" s="5" t="n"/>
      <ns0:c r="D22" s="11" t="n"/>
      <ns0:c r="E22" s="8" t="n"/>
      <ns0:c r="F22" s="13" t="str">
        <ns0:f>IF(B22="Não se aplica",IF(G22&lt;&gt;"",0,"Sem Capacidade de Apuração"),IF(AND(B22="Informado",COUNT(C22,E22)=2,C22&gt;=0,E22&gt;=0,E22&lt;=1,G22&lt;&gt;""),IF(ISNUMBER(IF(D22="BRL",1,IF(D22="USD",IF(AND(ISNUMBER(Premissas!B13),Premissas!B13&gt;0),Premissas!B13,"Sem Capacidade de Apuração"),IF(D22="EUR",IF(AND(ISNUMBER(Premissas!B14),Premissas!B14&gt;0),Premissas!B14,"Sem Capacidade de Apuração"),"Sem Capacidade de Apuração")))),C22*E22*IF(D22="BRL",1,IF(D22="USD",IF(AND(ISNUMBER(Premissas!B13),Premissas!B13&gt;0),Premissas!B13,"Sem Capacidade de Apuração"),IF(D22="EUR",IF(AND(ISNUMBER(Premissas!B14),Premissas!B14&gt;0),Premissas!B14,"Sem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22" s="11" t="n"/>
      <ns0:c r="H22" s="14" t="str">
        <ns0:f>IF(ISNUMBER(F22),"OK","Pendente")</ns0:f>
        <ns0:v>Pendente</ns0:v>
      </ns0:c>
    </ns0:row>
    <ns0:row r="23" ht="44" customHeight="1">
      <ns0:c r="A23" s="4" t="inlineStr">
        <ns0:is>
          <ns0:t>Jurídico / contratos / LGPD / encarregado</ns0:t>
        </ns0:is>
      </ns0:c>
      <ns0:c r="B23" s="11" t="inlineStr">
        <ns0:is>
          <ns0:t>Pendente</ns0:t>
        </ns0:is>
      </ns0:c>
      <ns0:c r="C23" s="5" t="n"/>
      <ns0:c r="D23" s="11" t="n"/>
      <ns0:c r="E23" s="8" t="n"/>
      <ns0:c r="F23" s="13" t="str">
        <ns0:f>IF(B23="Não se aplica",IF(G23&lt;&gt;"",0,"Sem Capacidade de Apuração"),IF(AND(B23="Informado",COUNT(C23,E23)=2,C23&gt;=0,E23&gt;=0,E23&lt;=1,G23&lt;&gt;""),IF(ISNUMBER(IF(D23="BRL",1,IF(D23="USD",IF(AND(ISNUMBER(Premissas!B13),Premissas!B13&gt;0),Premissas!B13,"Sem Capacidade de Apuração"),IF(D23="EUR",IF(AND(ISNUMBER(Premissas!B14),Premissas!B14&gt;0),Premissas!B14,"Sem Capacidade de Apuração"),"Sem Capacidade de Apuração")))),C23*E23*IF(D23="BRL",1,IF(D23="USD",IF(AND(ISNUMBER(Premissas!B13),Premissas!B13&gt;0),Premissas!B13,"Sem Capacidade de Apuração"),IF(D23="EUR",IF(AND(ISNUMBER(Premissas!B14),Premissas!B14&gt;0),Premissas!B14,"Sem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23" s="11" t="n"/>
      <ns0:c r="H23" s="14" t="str">
        <ns0:f>IF(ISNUMBER(F23),"OK","Pendente")</ns0:f>
        <ns0:v>Pendente</ns0:v>
      </ns0:c>
    </ns0:row>
    <ns0:row r="24" ht="44" customHeight="1">
      <ns0:c r="A24" s="4" t="inlineStr">
        <ns0:is>
          <ns0:t>Seguros / responsabilidade / cibernético</ns0:t>
        </ns0:is>
      </ns0:c>
      <ns0:c r="B24" s="11" t="inlineStr">
        <ns0:is>
          <ns0:t>Pendente</ns0:t>
        </ns0:is>
      </ns0:c>
      <ns0:c r="C24" s="5" t="n"/>
      <ns0:c r="D24" s="11" t="n"/>
      <ns0:c r="E24" s="8" t="n"/>
      <ns0:c r="F24" s="13" t="str">
        <ns0:f>IF(B24="Não se aplica",IF(G24&lt;&gt;"",0,"Sem Capacidade de Apuração"),IF(AND(B24="Informado",COUNT(C24,E24)=2,C24&gt;=0,E24&gt;=0,E24&lt;=1,G24&lt;&gt;""),IF(ISNUMBER(IF(D24="BRL",1,IF(D24="USD",IF(AND(ISNUMBER(Premissas!B13),Premissas!B13&gt;0),Premissas!B13,"Sem Capacidade de Apuração"),IF(D24="EUR",IF(AND(ISNUMBER(Premissas!B14),Premissas!B14&gt;0),Premissas!B14,"Sem Capacidade de Apuração"),"Sem Capacidade de Apuração")))),C24*E24*IF(D24="BRL",1,IF(D24="USD",IF(AND(ISNUMBER(Premissas!B13),Premissas!B13&gt;0),Premissas!B13,"Sem Capacidade de Apuração"),IF(D24="EUR",IF(AND(ISNUMBER(Premissas!B14),Premissas!B14&gt;0),Premissas!B14,"Sem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24" s="11" t="n"/>
      <ns0:c r="H24" s="14" t="str">
        <ns0:f>IF(ISNUMBER(F24),"OK","Pendente")</ns0:f>
        <ns0:v>Pendente</ns0:v>
      </ns0:c>
    </ns0:row>
    <ns0:row r="25" ht="44" customHeight="1">
      <ns0:c r="A25" s="4" t="inlineStr">
        <ns0:is>
          <ns0:t>Marketing / mídia / aquisição</ns0:t>
        </ns0:is>
      </ns0:c>
      <ns0:c r="B25" s="11" t="inlineStr">
        <ns0:is>
          <ns0:t>Pendente</ns0:t>
        </ns0:is>
      </ns0:c>
      <ns0:c r="C25" s="5" t="n"/>
      <ns0:c r="D25" s="11" t="n"/>
      <ns0:c r="E25" s="8" t="n"/>
      <ns0:c r="F25" s="13" t="str">
        <ns0:f>IF(B25="Não se aplica",IF(G25&lt;&gt;"",0,"Sem Capacidade de Apuração"),IF(AND(B25="Informado",COUNT(C25,E25)=2,C25&gt;=0,E25&gt;=0,E25&lt;=1,G25&lt;&gt;""),IF(ISNUMBER(IF(D25="BRL",1,IF(D25="USD",IF(AND(ISNUMBER(Premissas!B13),Premissas!B13&gt;0),Premissas!B13,"Sem Capacidade de Apuração"),IF(D25="EUR",IF(AND(ISNUMBER(Premissas!B14),Premissas!B14&gt;0),Premissas!B14,"Sem Capacidade de Apuração"),"Sem Capacidade de Apuração")))),C25*E25*IF(D25="BRL",1,IF(D25="USD",IF(AND(ISNUMBER(Premissas!B13),Premissas!B13&gt;0),Premissas!B13,"Sem Capacidade de Apuração"),IF(D25="EUR",IF(AND(ISNUMBER(Premissas!B14),Premissas!B14&gt;0),Premissas!B14,"Sem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25" s="11" t="n"/>
      <ns0:c r="H25" s="14" t="str">
        <ns0:f>IF(ISNUMBER(F25),"OK","Pendente")</ns0:f>
        <ns0:v>Pendente</ns0:v>
      </ns0:c>
    </ns0:row>
    <ns0:row r="26" ht="44" customHeight="1">
      <ns0:c r="A26" s="4" t="inlineStr">
        <ns0:is>
          <ns0:t>Ferramentas de trabalho e licenças</ns0:t>
        </ns0:is>
      </ns0:c>
      <ns0:c r="B26" s="11" t="inlineStr">
        <ns0:is>
          <ns0:t>Pendente</ns0:t>
        </ns0:is>
      </ns0:c>
      <ns0:c r="C26" s="5" t="n"/>
      <ns0:c r="D26" s="11" t="n"/>
      <ns0:c r="E26" s="8" t="n"/>
      <ns0:c r="F26" s="13" t="str">
        <ns0:f>IF(B26="Não se aplica",IF(G26&lt;&gt;"",0,"Sem Capacidade de Apuração"),IF(AND(B26="Informado",COUNT(C26,E26)=2,C26&gt;=0,E26&gt;=0,E26&lt;=1,G26&lt;&gt;""),IF(ISNUMBER(IF(D26="BRL",1,IF(D26="USD",IF(AND(ISNUMBER(Premissas!B13),Premissas!B13&gt;0),Premissas!B13,"Sem Capacidade de Apuração"),IF(D26="EUR",IF(AND(ISNUMBER(Premissas!B14),Premissas!B14&gt;0),Premissas!B14,"Sem Capacidade de Apuração"),"Sem Capacidade de Apuração")))),C26*E26*IF(D26="BRL",1,IF(D26="USD",IF(AND(ISNUMBER(Premissas!B13),Premissas!B13&gt;0),Premissas!B13,"Sem Capacidade de Apuração"),IF(D26="EUR",IF(AND(ISNUMBER(Premissas!B14),Premissas!B14&gt;0),Premissas!B14,"Sem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26" s="11" t="n"/>
      <ns0:c r="H26" s="14" t="str">
        <ns0:f>IF(ISNUMBER(F26),"OK","Pendente")</ns0:f>
        <ns0:v>Pendente</ns0:v>
      </ns0:c>
    </ns0:row>
    <ns0:row r="27" ht="44" customHeight="1">
      <ns0:c r="A27" s="4" t="inlineStr">
        <ns0:is>
          <ns0:t>Aluguel / internet / energia rateados</ns0:t>
        </ns0:is>
      </ns0:c>
      <ns0:c r="B27" s="11" t="inlineStr">
        <ns0:is>
          <ns0:t>Pendente</ns0:t>
        </ns0:is>
      </ns0:c>
      <ns0:c r="C27" s="5" t="n"/>
      <ns0:c r="D27" s="11" t="n"/>
      <ns0:c r="E27" s="8" t="n"/>
      <ns0:c r="F27" s="13" t="str">
        <ns0:f>IF(B27="Não se aplica",IF(G27&lt;&gt;"",0,"Sem Capacidade de Apuração"),IF(AND(B27="Informado",COUNT(C27,E27)=2,C27&gt;=0,E27&gt;=0,E27&lt;=1,G27&lt;&gt;""),IF(ISNUMBER(IF(D27="BRL",1,IF(D27="USD",IF(AND(ISNUMBER(Premissas!B13),Premissas!B13&gt;0),Premissas!B13,"Sem Capacidade de Apuração"),IF(D27="EUR",IF(AND(ISNUMBER(Premissas!B14),Premissas!B14&gt;0),Premissas!B14,"Sem Capacidade de Apuração"),"Sem Capacidade de Apuração")))),C27*E27*IF(D27="BRL",1,IF(D27="USD",IF(AND(ISNUMBER(Premissas!B13),Premissas!B13&gt;0),Premissas!B13,"Sem Capacidade de Apuração"),IF(D27="EUR",IF(AND(ISNUMBER(Premissas!B14),Premissas!B14&gt;0),Premissas!B14,"Sem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27" s="11" t="n"/>
      <ns0:c r="H27" s="14" t="str">
        <ns0:f>IF(ISNUMBER(F27),"OK","Pendente")</ns0:f>
        <ns0:v>Pendente</ns0:v>
      </ns0:c>
    </ns0:row>
    <ns0:row r="28" ht="44" customHeight="1">
      <ns0:c r="A28" s="4" t="inlineStr">
        <ns0:is>
          <ns0:t>Tarifas bancárias fixas</ns0:t>
        </ns0:is>
      </ns0:c>
      <ns0:c r="B28" s="11" t="inlineStr">
        <ns0:is>
          <ns0:t>Pendente</ns0:t>
        </ns0:is>
      </ns0:c>
      <ns0:c r="C28" s="5" t="n"/>
      <ns0:c r="D28" s="11" t="n"/>
      <ns0:c r="E28" s="8" t="n"/>
      <ns0:c r="F28" s="13" t="str">
        <ns0:f>IF(B28="Não se aplica",IF(G28&lt;&gt;"",0,"Sem Capacidade de Apuração"),IF(AND(B28="Informado",COUNT(C28,E28)=2,C28&gt;=0,E28&gt;=0,E28&lt;=1,G28&lt;&gt;""),IF(ISNUMBER(IF(D28="BRL",1,IF(D28="USD",IF(AND(ISNUMBER(Premissas!B13),Premissas!B13&gt;0),Premissas!B13,"Sem Capacidade de Apuração"),IF(D28="EUR",IF(AND(ISNUMBER(Premissas!B14),Premissas!B14&gt;0),Premissas!B14,"Sem Capacidade de Apuração"),"Sem Capacidade de Apuração")))),C28*E28*IF(D28="BRL",1,IF(D28="USD",IF(AND(ISNUMBER(Premissas!B13),Premissas!B13&gt;0),Premissas!B13,"Sem Capacidade de Apuração"),IF(D28="EUR",IF(AND(ISNUMBER(Premissas!B14),Premissas!B14&gt;0),Premissas!B14,"Sem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28" s="11" t="n"/>
      <ns0:c r="H28" s="14" t="str">
        <ns0:f>IF(ISNUMBER(F28),"OK","Pendente")</ns0:f>
        <ns0:v>Pendente</ns0:v>
      </ns0:c>
    </ns0:row>
    <ns0:row r="29" ht="44" customHeight="1">
      <ns0:c r="A29" s="4" t="inlineStr">
        <ns0:is>
          <ns0:t>Depreciação / amortização de equipamentos</ns0:t>
        </ns0:is>
      </ns0:c>
      <ns0:c r="B29" s="11" t="inlineStr">
        <ns0:is>
          <ns0:t>Pendente</ns0:t>
        </ns0:is>
      </ns0:c>
      <ns0:c r="C29" s="5" t="n"/>
      <ns0:c r="D29" s="11" t="n"/>
      <ns0:c r="E29" s="8" t="n"/>
      <ns0:c r="F29" s="13" t="str">
        <ns0:f>IF(B29="Não se aplica",IF(G29&lt;&gt;"",0,"Sem Capacidade de Apuração"),IF(AND(B29="Informado",COUNT(C29,E29)=2,C29&gt;=0,E29&gt;=0,E29&lt;=1,G29&lt;&gt;""),IF(ISNUMBER(IF(D29="BRL",1,IF(D29="USD",IF(AND(ISNUMBER(Premissas!B13),Premissas!B13&gt;0),Premissas!B13,"Sem Capacidade de Apuração"),IF(D29="EUR",IF(AND(ISNUMBER(Premissas!B14),Premissas!B14&gt;0),Premissas!B14,"Sem Capacidade de Apuração"),"Sem Capacidade de Apuração")))),C29*E29*IF(D29="BRL",1,IF(D29="USD",IF(AND(ISNUMBER(Premissas!B13),Premissas!B13&gt;0),Premissas!B13,"Sem Capacidade de Apuração"),IF(D29="EUR",IF(AND(ISNUMBER(Premissas!B14),Premissas!B14&gt;0),Premissas!B14,"Sem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29" s="11" t="n"/>
      <ns0:c r="H29" s="14" t="str">
        <ns0:f>IF(ISNUMBER(F29),"OK","Pendente")</ns0:f>
        <ns0:v>Pendente</ns0:v>
      </ns0:c>
    </ns0:row>
    <ns0:row r="30" ht="44" customHeight="1">
      <ns0:c r="A30" s="4" t="inlineStr">
        <ns0:is>
          <ns0:t>Amortização do desenvolvimento inicial</ns0:t>
        </ns0:is>
      </ns0:c>
      <ns0:c r="B30" s="11" t="inlineStr">
        <ns0:is>
          <ns0:t>Pendente</ns0:t>
        </ns0:is>
      </ns0:c>
      <ns0:c r="C30" s="5" t="n"/>
      <ns0:c r="D30" s="11" t="n"/>
      <ns0:c r="E30" s="8" t="n"/>
      <ns0:c r="F30" s="13" t="str">
        <ns0:f>IF(B30="Não se aplica",IF(G30&lt;&gt;"",0,"Sem Capacidade de Apuração"),IF(AND(B30="Informado",COUNT(C30,E30)=2,C30&gt;=0,E30&gt;=0,E30&lt;=1,G30&lt;&gt;""),IF(ISNUMBER(IF(D30="BRL",1,IF(D30="USD",IF(AND(ISNUMBER(Premissas!B13),Premissas!B13&gt;0),Premissas!B13,"Sem Capacidade de Apuração"),IF(D30="EUR",IF(AND(ISNUMBER(Premissas!B14),Premissas!B14&gt;0),Premissas!B14,"Sem Capacidade de Apuração"),"Sem Capacidade de Apuração")))),C30*E30*IF(D30="BRL",1,IF(D30="USD",IF(AND(ISNUMBER(Premissas!B13),Premissas!B13&gt;0),Premissas!B13,"Sem Capacidade de Apuração"),IF(D30="EUR",IF(AND(ISNUMBER(Premissas!B14),Premissas!B14&gt;0),Premissas!B14,"Sem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30" s="11" t="n"/>
      <ns0:c r="H30" s="14" t="str">
        <ns0:f>IF(ISNUMBER(F30),"OK","Pendente")</ns0:f>
        <ns0:v>Pendente</ns0:v>
      </ns0:c>
    </ns0:row>
    <ns0:row r="31" ht="44" customHeight="1">
      <ns0:c r="A31" s="4" t="inlineStr">
        <ns0:is>
          <ns0:t>Treinamento / implantação de clientes</ns0:t>
        </ns0:is>
      </ns0:c>
      <ns0:c r="B31" s="11" t="inlineStr">
        <ns0:is>
          <ns0:t>Pendente</ns0:t>
        </ns0:is>
      </ns0:c>
      <ns0:c r="C31" s="5" t="n"/>
      <ns0:c r="D31" s="11" t="n"/>
      <ns0:c r="E31" s="8" t="n"/>
      <ns0:c r="F31" s="13" t="str">
        <ns0:f>IF(B31="Não se aplica",IF(G31&lt;&gt;"",0,"Sem Capacidade de Apuração"),IF(AND(B31="Informado",COUNT(C31,E31)=2,C31&gt;=0,E31&gt;=0,E31&lt;=1,G31&lt;&gt;""),IF(ISNUMBER(IF(D31="BRL",1,IF(D31="USD",IF(AND(ISNUMBER(Premissas!B13),Premissas!B13&gt;0),Premissas!B13,"Sem Capacidade de Apuração"),IF(D31="EUR",IF(AND(ISNUMBER(Premissas!B14),Premissas!B14&gt;0),Premissas!B14,"Sem Capacidade de Apuração"),"Sem Capacidade de Apuração")))),C31*E31*IF(D31="BRL",1,IF(D31="USD",IF(AND(ISNUMBER(Premissas!B13),Premissas!B13&gt;0),Premissas!B13,"Sem Capacidade de Apuração"),IF(D31="EUR",IF(AND(ISNUMBER(Premissas!B14),Premissas!B14&gt;0),Premissas!B14,"Sem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31" s="11" t="n"/>
      <ns0:c r="H31" s="14" t="str">
        <ns0:f>IF(ISNUMBER(F31),"OK","Pendente")</ns0:f>
        <ns0:v>Pendente</ns0:v>
      </ns0:c>
    </ns0:row>
    <ns0:row r="32" ht="44" customHeight="1">
      <ns0:c r="A32" s="4" t="inlineStr">
        <ns0:is>
          <ns0:t>Contestações Stripe — tarifas líquidas</ns0:t>
        </ns0:is>
      </ns0:c>
      <ns0:c r="B32" s="11" t="inlineStr">
        <ns0:is>
          <ns0:t>Pendente</ns0:t>
        </ns0:is>
      </ns0:c>
      <ns0:c r="C32" s="5" t="n"/>
      <ns0:c r="D32" s="11" t="n"/>
      <ns0:c r="E32" s="8" t="n"/>
      <ns0:c r="F32" s="13" t="str">
        <ns0:f>IF(B32="Não se aplica",IF(G32&lt;&gt;"",0,"Sem Capacidade de Apuração"),IF(AND(B32="Informado",COUNT(C32,E32)=2,C32&gt;=0,E32&gt;=0,E32&lt;=1,G32&lt;&gt;""),IF(ISNUMBER(IF(D32="BRL",1,IF(D32="USD",IF(AND(ISNUMBER(Premissas!B13),Premissas!B13&gt;0),Premissas!B13,"Sem Capacidade de Apuração"),IF(D32="EUR",IF(AND(ISNUMBER(Premissas!B14),Premissas!B14&gt;0),Premissas!B14,"Sem Capacidade de Apuração"),"Sem Capacidade de Apuração")))),C32*E32*IF(D32="BRL",1,IF(D32="USD",IF(AND(ISNUMBER(Premissas!B13),Premissas!B13&gt;0),Premissas!B13,"Sem Capacidade de Apuração"),IF(D32="EUR",IF(AND(ISNUMBER(Premissas!B14),Premissas!B14&gt;0),Premissas!B14,"Sem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32" s="11" t="n"/>
      <ns0:c r="H32" s="14" t="str">
        <ns0:f>IF(ISNUMBER(F32),"OK","Pendente")</ns0:f>
        <ns0:v>Pendente</ns0:v>
      </ns0:c>
    </ns0:row>
    <ns0:row r="33" ht="44" customHeight="1">
      <ns0:c r="A33" s="4" t="inlineStr">
        <ns0:is>
          <ns0:t>Outros custos fixos ou periódicos</ns0:t>
        </ns0:is>
      </ns0:c>
      <ns0:c r="B33" s="11" t="inlineStr">
        <ns0:is>
          <ns0:t>Pendente</ns0:t>
        </ns0:is>
      </ns0:c>
      <ns0:c r="C33" s="5" t="n"/>
      <ns0:c r="D33" s="11" t="n"/>
      <ns0:c r="E33" s="8" t="n"/>
      <ns0:c r="F33" s="13" t="str">
        <ns0:f>IF(B33="Não se aplica",IF(G33&lt;&gt;"",0,"Sem Capacidade de Apuração"),IF(AND(B33="Informado",COUNT(C33,E33)=2,C33&gt;=0,E33&gt;=0,E33&lt;=1,G33&lt;&gt;""),IF(ISNUMBER(IF(D33="BRL",1,IF(D33="USD",IF(AND(ISNUMBER(Premissas!B13),Premissas!B13&gt;0),Premissas!B13,"Sem Capacidade de Apuração"),IF(D33="EUR",IF(AND(ISNUMBER(Premissas!B14),Premissas!B14&gt;0),Premissas!B14,"Sem Capacidade de Apuração"),"Sem Capacidade de Apuração")))),C33*E33*IF(D33="BRL",1,IF(D33="USD",IF(AND(ISNUMBER(Premissas!B13),Premissas!B13&gt;0),Premissas!B13,"Sem Capacidade de Apuração"),IF(D33="EUR",IF(AND(ISNUMBER(Premissas!B14),Premissas!B14&gt;0),Premissas!B14,"Sem Capacidade de Apuração"),"Sem Capacidade de Apuração"))),"Sem Capacidade de Apuração"),"Sem Capacidade de Apuração"))</ns0:f>
        <ns0:v>Sem Capacidade de Apuração</ns0:v>
      </ns0:c>
      <ns0:c r="G33" s="11" t="n"/>
      <ns0:c r="H33" s="14" t="str">
        <ns0:f>IF(ISNUMBER(F33),"OK","Pendente")</ns0:f>
        <ns0:v>Pendente</ns0:v>
      </ns0:c>
    </ns0:row>
    <ns0:row r="34"/>
    <ns0:row r="35" ht="44" customHeight="1">
      <ns0:c r="A35" s="4" t="inlineStr">
        <ns0:is>
          <ns0:t>TOTAL MENSAL PSIQUE</ns0:t>
        </ns0:is>
      </ns0:c>
      <ns0:c r="F35" s="13" t="str">
        <ns0:f>IF(COUNT(F6:F33)=28,SUM(F6:F33),"Sem Capacidade de Apuração")</ns0:f>
        <ns0:v>Sem Capacidade de Apuração</ns0:v>
      </ns0:c>
    </ns0:row>
    <ns0:row r="36"/>
    <ns0:row r="37" ht="44" customHeight="1">
      <ns0:c r="A37" s="4" t="inlineStr">
        <ns0:is>
          <ns0:t>PENDÊNCIAS</ns0:t>
        </ns0:is>
      </ns0:c>
      <ns0:c r="F37" s="6">
        <ns0:f>28-COUNT(F6:F33)</ns0:f>
        <ns0:v>28.0</ns0:v>
      </ns0:c>
    </ns0:row>
  </ns0:sheetData>
  <ns0:autoFilter ref="A5:H33"/>
  <ns0:mergeCells count="2">
    <ns0:mergeCell ref="A2:H2"/>
    <ns0:mergeCell ref="A1:H1"/>
  </ns0:mergeCells>
  <ns0:dataValidations count="4">
    <ns0:dataValidation sqref="B6:B33" showDropDown="0" showInputMessage="0" showErrorMessage="1" allowBlank="1" errorTitle="Entrada inválida" error="Informe valor válido; deixe vazio se não apurado." type="list" errorStyle="stop">
      <ns0:formula1>"Pendente,Informado,Não se aplica"</ns0:formula1>
    </ns0:dataValidation>
    <ns0:dataValidation sqref="D6:D33" showDropDown="0" showInputMessage="0" showErrorMessage="1" allowBlank="1" errorTitle="Entrada inválida" error="Informe valor válido; deixe vazio se não apurado." type="list" errorStyle="stop">
      <ns0:formula1>"BRL,USD,EUR"</ns0:formula1>
    </ns0:dataValidation>
    <ns0:dataValidation sqref="C6:C33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  <ns0:dataValidation sqref="E6:E33" showDropDown="0" showInputMessage="0" showErrorMessage="1" allowBlank="1" errorTitle="Entrada inválida" error="Informe valor válido; deixe vazio se não apurado." type="decimal" errorStyle="stop" operator="between">
      <ns0:formula1>0</ns0:formula1>
      <ns0:formula2>1</ns0:formula2>
    </ns0:dataValidation>
  </ns0:dataValidations>
  <ns0:pageMargins left="0.75" right="0.75" top="1" bottom="1" header="0.5" footer="0.5"/>
  <ns0:pageSetup orientation="landscape" paperSize="9" fitToHeight="0" fitToWidth="1"/>
  <ns0:headerFooter>
    <ns0:oddHeader/>
    <ns0:oddFooter>&amp;CFROID Psique | &amp;A | &amp;P / &amp;N</ns0:oddFooter>
    <ns0:evenHeader/>
    <ns0:evenFooter/>
    <ns0:firstHeader/>
    <ns0:firstFooter/>
  </ns0:headerFooter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F18"/>
  <ns0:sheetViews>
    <ns0:sheetView showGridLines="0"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48" customWidth="1" min="1" max="1"/>
    <ns0:col width="24" customWidth="1" min="2" max="2"/>
    <ns0:col width="24" customWidth="1" min="3" max="3"/>
    <ns0:col width="24" customWidth="1" min="4" max="4"/>
    <ns0:col width="34" customWidth="1" min="5" max="5"/>
    <ns0:col width="95" customWidth="1" min="6" max="6"/>
  </ns0:cols>
  <ns0:sheetData>
    <ns0:row r="1" ht="42" customHeight="1">
      <ns0:c r="A1" s="1" t="inlineStr">
        <ns0:is>
          <ns0:t>OUTROS CUSTOS | Por atendimento</ns0:t>
        </ns0:is>
      </ns0:c>
    </ns0:row>
    <ns0:row r="2" ht="42" customHeight="1">
      <ns0:c r="A2" s="2" t="inlineStr">
        <ns0:is>
          <ns0:t>Somente incrementais fora de IA e Fixos. Faturas do acervo total ficam em Fixos. Não duplicar parcelas já incluídas na mensalidade.</ns0:t>
        </ns0:is>
      </ns0:c>
    </ns0:row>
    <ns0:row r="3"/>
    <ns0:row r="4"/>
    <ns0:row r="5" ht="32" customHeight="1">
      <ns0:c r="A5" s="3" t="inlineStr">
        <ns0:is>
          <ns0:t>Item</ns0:t>
        </ns0:is>
      </ns0:c>
      <ns0:c r="B5" s="3" t="inlineStr">
        <ns0:is>
          <ns0:t>Tratamento</ns0:t>
        </ns0:is>
      </ns0:c>
      <ns0:c r="C5" s="3" t="inlineStr">
        <ns0:is>
          <ns0:t>Qtd/atendimento</ns0:t>
        </ns0:is>
      </ns0:c>
      <ns0:c r="D5" s="3" t="inlineStr">
        <ns0:is>
          <ns0:t>BRL/unidade</ns0:t>
        </ns0:is>
      </ns0:c>
      <ns0:c r="E5" s="3" t="inlineStr">
        <ns0:is>
          <ns0:t>BRL/atendimento</ns0:t>
        </ns0:is>
      </ns0:c>
      <ns0:c r="F5" s="3" t="inlineStr">
        <ns0:is>
          <ns0:t>Fonte / justificativa</ns0:t>
        </ns0:is>
      </ns0:c>
    </ns0:row>
    <ns0:row r="6" ht="44" customHeight="1">
      <ns0:c r="A6" s="4" t="inlineStr">
        <ns0:is>
          <ns0:t>Tráfego excedente / relay TURN (GB)</ns0:t>
        </ns0:is>
      </ns0:c>
      <ns0:c r="B6" s="11" t="inlineStr">
        <ns0:is>
          <ns0:t>Pendente</ns0:t>
        </ns0:is>
      </ns0:c>
      <ns0:c r="C6" s="5" t="n"/>
      <ns0:c r="D6" s="5" t="n"/>
      <ns0:c r="E6" s="13" t="str">
        <ns0:f>IF(B6="Não se aplica",IF(F6&lt;&gt;"",0,"Sem Capacidade de Apuração"),IF(AND(B6="Informado",COUNT(C6,D6)=2,C6&gt;=0,D6&gt;=0,F6&lt;&gt;""),C6*D6,"Sem Capacidade de Apuração"))</ns0:f>
        <ns0:v>Sem Capacidade de Apuração</ns0:v>
      </ns0:c>
      <ns0:c r="F6" s="11" t="n"/>
    </ns0:row>
    <ns0:row r="7" ht="44" customHeight="1">
      <ns0:c r="A7" s="4" t="inlineStr">
        <ns0:is>
          <ns0:t>Armazenamento incremental não faturado em Fixos</ns0:t>
        </ns0:is>
      </ns0:c>
      <ns0:c r="B7" s="11" t="inlineStr">
        <ns0:is>
          <ns0:t>Pendente</ns0:t>
        </ns0:is>
      </ns0:c>
      <ns0:c r="C7" s="5" t="n"/>
      <ns0:c r="D7" s="5" t="n"/>
      <ns0:c r="E7" s="13" t="str">
        <ns0:f>IF(B7="Não se aplica",IF(F7&lt;&gt;"",0,"Sem Capacidade de Apuração"),IF(AND(B7="Informado",COUNT(C7,D7)=2,C7&gt;=0,D7&gt;=0,F7&lt;&gt;""),C7*D7,"Sem Capacidade de Apuração"))</ns0:f>
        <ns0:v>Sem Capacidade de Apuração</ns0:v>
      </ns0:c>
      <ns0:c r="F7" s="11" t="n"/>
    </ns0:row>
    <ns0:row r="8" ht="44" customHeight="1">
      <ns0:c r="A8" s="4" t="inlineStr">
        <ns0:is>
          <ns0:t>Mensagens / e-mails / notificações</ns0:t>
        </ns0:is>
      </ns0:c>
      <ns0:c r="B8" s="11" t="inlineStr">
        <ns0:is>
          <ns0:t>Pendente</ns0:t>
        </ns0:is>
      </ns0:c>
      <ns0:c r="C8" s="5" t="n"/>
      <ns0:c r="D8" s="5" t="n"/>
      <ns0:c r="E8" s="13" t="str">
        <ns0:f>IF(B8="Não se aplica",IF(F8&lt;&gt;"",0,"Sem Capacidade de Apuração"),IF(AND(B8="Informado",COUNT(C8,D8)=2,C8&gt;=0,D8&gt;=0,F8&lt;&gt;""),C8*D8,"Sem Capacidade de Apuração"))</ns0:f>
        <ns0:v>Sem Capacidade de Apuração</ns0:v>
      </ns0:c>
      <ns0:c r="F8" s="11" t="n"/>
    </ns0:row>
    <ns0:row r="9" ht="44" customHeight="1">
      <ns0:c r="A9" s="4" t="inlineStr">
        <ns0:is>
          <ns0:t>Suporte variável (minutos)</ns0:t>
        </ns0:is>
      </ns0:c>
      <ns0:c r="B9" s="11" t="inlineStr">
        <ns0:is>
          <ns0:t>Pendente</ns0:t>
        </ns0:is>
      </ns0:c>
      <ns0:c r="C9" s="5" t="n"/>
      <ns0:c r="D9" s="5" t="n"/>
      <ns0:c r="E9" s="13" t="str">
        <ns0:f>IF(B9="Não se aplica",IF(F9&lt;&gt;"",0,"Sem Capacidade de Apuração"),IF(AND(B9="Informado",COUNT(C9,D9)=2,C9&gt;=0,D9&gt;=0,F9&lt;&gt;""),C9*D9,"Sem Capacidade de Apuração"))</ns0:f>
        <ns0:v>Sem Capacidade de Apuração</ns0:v>
      </ns0:c>
      <ns0:c r="F9" s="11" t="n"/>
    </ns0:row>
    <ns0:row r="10" ht="44" customHeight="1">
      <ns0:c r="A10" s="4" t="inlineStr">
        <ns0:is>
          <ns0:t>Implantação/treinamento amortizado por crédito</ns0:t>
        </ns0:is>
      </ns0:c>
      <ns0:c r="B10" s="11" t="inlineStr">
        <ns0:is>
          <ns0:t>Pendente</ns0:t>
        </ns0:is>
      </ns0:c>
      <ns0:c r="C10" s="5" t="n"/>
      <ns0:c r="D10" s="5" t="n"/>
      <ns0:c r="E10" s="13" t="str">
        <ns0:f>IF(B10="Não se aplica",IF(F10&lt;&gt;"",0,"Sem Capacidade de Apuração"),IF(AND(B10="Informado",COUNT(C10,D10)=2,C10&gt;=0,D10&gt;=0,F10&lt;&gt;""),C10*D10,"Sem Capacidade de Apuração"))</ns0:f>
        <ns0:v>Sem Capacidade de Apuração</ns0:v>
      </ns0:c>
      <ns0:c r="F10" s="11" t="n"/>
    </ns0:row>
    <ns0:row r="11" ht="44" customHeight="1">
      <ns0:c r="A11" s="4" t="inlineStr">
        <ns0:is>
          <ns0:t>Serviços terceirizados por atendimento</ns0:t>
        </ns0:is>
      </ns0:c>
      <ns0:c r="B11" s="11" t="inlineStr">
        <ns0:is>
          <ns0:t>Pendente</ns0:t>
        </ns0:is>
      </ns0:c>
      <ns0:c r="C11" s="5" t="n"/>
      <ns0:c r="D11" s="5" t="n"/>
      <ns0:c r="E11" s="13" t="str">
        <ns0:f>IF(B11="Não se aplica",IF(F11&lt;&gt;"",0,"Sem Capacidade de Apuração"),IF(AND(B11="Informado",COUNT(C11,D11)=2,C11&gt;=0,D11&gt;=0,F11&lt;&gt;""),C11*D11,"Sem Capacidade de Apuração"))</ns0:f>
        <ns0:v>Sem Capacidade de Apuração</ns0:v>
      </ns0:c>
      <ns0:c r="F11" s="11" t="n"/>
    </ns0:row>
    <ns0:row r="12" ht="44" customHeight="1">
      <ns0:c r="A12" s="4" t="inlineStr">
        <ns0:is>
          <ns0:t>Emissão de nota / documento (parcela variável)</ns0:t>
        </ns0:is>
      </ns0:c>
      <ns0:c r="B12" s="11" t="inlineStr">
        <ns0:is>
          <ns0:t>Pendente</ns0:t>
        </ns0:is>
      </ns0:c>
      <ns0:c r="C12" s="5" t="n"/>
      <ns0:c r="D12" s="5" t="n"/>
      <ns0:c r="E12" s="13" t="str">
        <ns0:f>IF(B12="Não se aplica",IF(F12&lt;&gt;"",0,"Sem Capacidade de Apuração"),IF(AND(B12="Informado",COUNT(C12,D12)=2,C12&gt;=0,D12&gt;=0,F12&lt;&gt;""),C12*D12,"Sem Capacidade de Apuração"))</ns0:f>
        <ns0:v>Sem Capacidade de Apuração</ns0:v>
      </ns0:c>
      <ns0:c r="F12" s="11" t="n"/>
    </ns0:row>
    <ns0:row r="13" ht="44" customHeight="1">
      <ns0:c r="A13" s="4" t="inlineStr">
        <ns0:is>
          <ns0:t>Outras APIs em BRL não lançadas em IA</ns0:t>
        </ns0:is>
      </ns0:c>
      <ns0:c r="B13" s="11" t="inlineStr">
        <ns0:is>
          <ns0:t>Pendente</ns0:t>
        </ns0:is>
      </ns0:c>
      <ns0:c r="C13" s="5" t="n"/>
      <ns0:c r="D13" s="5" t="n"/>
      <ns0:c r="E13" s="13" t="str">
        <ns0:f>IF(B13="Não se aplica",IF(F13&lt;&gt;"",0,"Sem Capacidade de Apuração"),IF(AND(B13="Informado",COUNT(C13,D13)=2,C13&gt;=0,D13&gt;=0,F13&lt;&gt;""),C13*D13,"Sem Capacidade de Apuração"))</ns0:f>
        <ns0:v>Sem Capacidade de Apuração</ns0:v>
      </ns0:c>
      <ns0:c r="F13" s="11" t="n"/>
    </ns0:row>
    <ns0:row r="14" ht="44" customHeight="1">
      <ns0:c r="A14" s="4" t="inlineStr">
        <ns0:is>
          <ns0:t>Outros custos incrementais</ns0:t>
        </ns0:is>
      </ns0:c>
      <ns0:c r="B14" s="11" t="inlineStr">
        <ns0:is>
          <ns0:t>Pendente</ns0:t>
        </ns0:is>
      </ns0:c>
      <ns0:c r="C14" s="5" t="n"/>
      <ns0:c r="D14" s="5" t="n"/>
      <ns0:c r="E14" s="13" t="str">
        <ns0:f>IF(B14="Não se aplica",IF(F14&lt;&gt;"",0,"Sem Capacidade de Apuração"),IF(AND(B14="Informado",COUNT(C14,D14)=2,C14&gt;=0,D14&gt;=0,F14&lt;&gt;""),C14*D14,"Sem Capacidade de Apuração"))</ns0:f>
        <ns0:v>Sem Capacidade de Apuração</ns0:v>
      </ns0:c>
      <ns0:c r="F14" s="11" t="n"/>
    </ns0:row>
    <ns0:row r="15"/>
    <ns0:row r="16" ht="44" customHeight="1">
      <ns0:c r="A16" s="4" t="inlineStr">
        <ns0:is>
          <ns0:t>TOTAL POR ATENDIMENTO</ns0:t>
        </ns0:is>
      </ns0:c>
      <ns0:c r="E16" s="13" t="str">
        <ns0:f>IF(COUNT(E6:E14)=9,SUM(E6:E14),"Sem Capacidade de Apuração")</ns0:f>
        <ns0:v>Sem Capacidade de Apuração</ns0:v>
      </ns0:c>
    </ns0:row>
    <ns0:row r="17"/>
    <ns0:row r="18" ht="44" customHeight="1">
      <ns0:c r="A18" s="4" t="inlineStr">
        <ns0:is>
          <ns0:t>PENDÊNCIAS</ns0:t>
        </ns0:is>
      </ns0:c>
      <ns0:c r="E18" s="6">
        <ns0:f>9-COUNT(E6:E14)</ns0:f>
        <ns0:v>9.0</ns0:v>
      </ns0:c>
    </ns0:row>
  </ns0:sheetData>
  <ns0:autoFilter ref="A5:F14"/>
  <ns0:mergeCells count="2">
    <ns0:mergeCell ref="A2:F2"/>
    <ns0:mergeCell ref="A1:F1"/>
  </ns0:mergeCells>
  <ns0:dataValidations count="2">
    <ns0:dataValidation sqref="B6:B14" showDropDown="0" showInputMessage="0" showErrorMessage="1" allowBlank="1" errorTitle="Entrada inválida" error="Informe valor válido; deixe vazio se não apurado." type="list" errorStyle="stop">
      <ns0:formula1>"Pendente,Informado,Não se aplica"</ns0:formula1>
    </ns0:dataValidation>
    <ns0:dataValidation sqref="C6:D14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</ns0:dataValidations>
  <ns0:pageMargins left="0.75" right="0.75" top="1" bottom="1" header="0.5" footer="0.5"/>
  <ns0:pageSetup orientation="landscape" paperSize="9" fitToHeight="0" fitToWidth="1"/>
  <ns0:headerFooter>
    <ns0:oddHeader/>
    <ns0:oddFooter>&amp;CFROID Psique | &amp;A | &amp;P / &amp;N</ns0:oddFooter>
    <ns0:evenHeader/>
    <ns0:evenFooter/>
    <ns0:firstHeader/>
    <ns0:firstFooter/>
  </ns0:headerFooter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C25"/>
  <ns0:sheetViews>
    <ns0:sheetView showGridLines="0"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56" customWidth="1" min="1" max="1"/>
    <ns0:col width="38" customWidth="1" min="2" max="2"/>
    <ns0:col width="110" customWidth="1" min="3" max="3"/>
  </ns0:cols>
  <ns0:sheetData>
    <ns0:row r="1" ht="42" customHeight="1">
      <ns0:c r="A1" s="1" t="inlineStr">
        <ns0:is>
          <ns0:t>RESULTADO | Custo, margem e equilíbrio</ns0:t>
        </ns0:is>
      </ns0:c>
    </ns0:row>
    <ns0:row r="2" ht="42" customHeight="1">
      <ns0:c r="A2" s="2" t="inlineStr">
        <ns0:is>
          <ns0:t>Custo completo só aparece quando todas as dependências forem preenchidas. Projeções não são faturas. As premissas definem a precisão.</ns0:t>
        </ns0:is>
      </ns0:c>
    </ns0:row>
    <ns0:row r="3"/>
    <ns0:row r="4"/>
    <ns0:row r="5" ht="32" customHeight="1">
      <ns0:c r="A5" s="3" t="inlineStr">
        <ns0:is>
          <ns0:t>Indicador</ns0:t>
        </ns0:is>
      </ns0:c>
      <ns0:c r="B5" s="3" t="inlineStr">
        <ns0:is>
          <ns0:t>Valor</ns0:t>
        </ns0:is>
      </ns0:c>
      <ns0:c r="C5" s="3" t="inlineStr">
        <ns0:is>
          <ns0:t>Interpretação</ns0:t>
        </ns0:is>
      </ns0:c>
    </ns0:row>
    <ns0:row r="6" ht="44" customHeight="1">
      <ns0:c r="A6" s="4" t="inlineStr">
        <ns0:is>
          <ns0:t>Custo fixo mensal</ns0:t>
        </ns0:is>
      </ns0:c>
      <ns0:c r="B6" s="13" t="str">
        <ns0:f>Fixos!F35</ns0:f>
        <ns0:v>Sem Capacidade de Apuração</ns0:v>
      </ns0:c>
      <ns0:c r="C6" s="4" t="inlineStr">
        <ns0:is>
          <ns0:t>Parcela atribuída ao Psique.</ns0:t>
        </ns0:is>
      </ns0:c>
    </ns0:row>
    <ns0:row r="7" ht="44" customHeight="1">
      <ns0:c r="A7" s="4" t="inlineStr">
        <ns0:is>
          <ns0:t>IA por atendimento</ns0:t>
        </ns0:is>
      </ns0:c>
      <ns0:c r="B7" s="13" t="str">
        <ns0:f>IA!G16</ns0:f>
        <ns0:v>Sem Capacidade de Apuração</ns0:v>
      </ns0:c>
      <ns0:c r="C7" s="4" t="inlineStr">
        <ns0:is>
          <ns0:t>Tarifa pública × consumo informado × câmbio efetivo.</ns0:t>
        </ns0:is>
      </ns0:c>
    </ns0:row>
    <ns0:row r="8" ht="44" customHeight="1">
      <ns0:c r="A8" s="4" t="inlineStr">
        <ns0:is>
          <ns0:t>Outros variáveis por atendimento</ns0:t>
        </ns0:is>
      </ns0:c>
      <ns0:c r="B8" s="13" t="str">
        <ns0:f>Variaveis!E16</ns0:f>
        <ns0:v>Sem Capacidade de Apuração</ns0:v>
      </ns0:c>
      <ns0:c r="C8" s="4" t="inlineStr">
        <ns0:is>
          <ns0:t>Incrementais fora de IA.</ns0:t>
        </ns0:is>
      </ns0:c>
    </ns0:row>
    <ns0:row r="9" ht="44" customHeight="1">
      <ns0:c r="A9" s="4" t="inlineStr">
        <ns0:is>
          <ns0:t>Variável total por atendimento</ns0:t>
        </ns0:is>
      </ns0:c>
      <ns0:c r="B9" s="13" t="str">
        <ns0:f>IF(COUNT(B7:B8)=2,SUM(B7:B8),"Sem Capacidade de Apuração")</ns0:f>
        <ns0:v>Sem Capacidade de Apuração</ns0:v>
      </ns0:c>
      <ns0:c r="C9" s="4" t="inlineStr">
        <ns0:is>
          <ns0:t>Pago ou gratuito.</ns0:t>
        </ns0:is>
      </ns0:c>
    </ns0:row>
    <ns0:row r="10" ht="44" customHeight="1">
      <ns0:c r="A10" s="4" t="inlineStr">
        <ns0:is>
          <ns0:t>Custos operacionais totais no mês</ns0:t>
        </ns0:is>
      </ns0:c>
      <ns0:c r="B10" s="13" t="str">
        <ns0:f>IF(AND(COUNT(B6,B9,Premissas!B8)=3,Premissas!B8&gt;=0),B6+B9*Premissas!B8,"Sem Capacidade de Apuração")</ns0:f>
        <ns0:v>Sem Capacidade de Apuração</ns0:v>
      </ns0:c>
      <ns0:c r="C10" s="4" t="inlineStr">
        <ns0:is>
          <ns0:t>Fixo + variável × atendimentos pagos e gratuitos.</ns0:t>
        </ns0:is>
      </ns0:c>
    </ns0:row>
    <ns0:row r="11" ht="44" customHeight="1">
      <ns0:c r="A11" s="4" t="inlineStr">
        <ns0:is>
          <ns0:t>Custo operacional por crédito pago</ns0:t>
        </ns0:is>
      </ns0:c>
      <ns0:c r="B11" s="13" t="str">
        <ns0:f>IF(AND(COUNT(B10,Premissas!B6)=2,Premissas!B6&gt;0),B10/Premissas!B6,"Sem Capacidade de Apuração")</ns0:f>
        <ns0:v>Sem Capacidade de Apuração</ns0:v>
      </ns0:c>
      <ns0:c r="C11" s="4" t="inlineStr">
        <ns0:is>
          <ns0:t>Inclui gratuitos e estrutura. Ainda sem tributos/taxas da venda.</ns0:t>
        </ns0:is>
      </ns0:c>
    </ns0:row>
    <ns0:row r="12" ht="44" customHeight="1">
      <ns0:c r="A12" s="4" t="inlineStr">
        <ns0:is>
          <ns0:t>Deduções percentuais sobre receita</ns0:t>
        </ns0:is>
      </ns0:c>
      <ns0:c r="B12" s="15" t="str">
        <ns0:f>IF(COUNT(Premissas!B15:B18,Premissas!B20)=5,SUM(Premissas!B15:B18,Premissas!B20),"Sem Capacidade de Apuração")</ns0:f>
        <ns0:v>Sem Capacidade de Apuração</ns0:v>
      </ns0:c>
      <ns0:c r="C12" s="4" t="inlineStr">
        <ns0:is>
          <ns0:t>Tributos + comissões + perdas + pagamento + adicionais.</ns0:t>
        </ns0:is>
      </ns0:c>
    </ns0:row>
    <ns0:row r="13" ht="44" customHeight="1">
      <ns0:c r="A13" s="4" t="inlineStr">
        <ns0:is>
          <ns0:t>Tarifa fixa por crédito pago</ns0:t>
        </ns0:is>
      </ns0:c>
      <ns0:c r="B13" s="13" t="str">
        <ns0:f>IF(AND(COUNT(Premissas!B19,Premissas!B10)=2,Premissas!B10&gt;0),Premissas!B19/Premissas!B10,"Sem Capacidade de Apuração")</ns0:f>
        <ns0:v>Sem Capacidade de Apuração</ns0:v>
      </ns0:c>
      <ns0:c r="C13" s="4" t="inlineStr">
        <ns0:is>
          <ns0:t>Tarifa por transação dividida pelos créditos do pacote.</ns0:t>
        </ns0:is>
      </ns0:c>
    </ns0:row>
    <ns0:row r="14" ht="44" customHeight="1">
      <ns0:c r="A14" s="4" t="inlineStr">
        <ns0:is>
          <ns0:t>Preço de equilíbrio por crédito</ns0:t>
        </ns0:is>
      </ns0:c>
      <ns0:c r="B14" s="13" t="str">
        <ns0:f>IF(COUNT(B11:B13)=3,IF(B12&lt;1,(B11+B13)/(1-B12),"Inviável"),"Sem Capacidade de Apuração")</ns0:f>
        <ns0:v>Sem Capacidade de Apuração</ns0:v>
      </ns0:c>
      <ns0:c r="C14" s="4" t="inlineStr">
        <ns0:is>
          <ns0:t>Cobre custos informados com margem zero.</ns0:t>
        </ns0:is>
      </ns0:c>
    </ns0:row>
    <ns0:row r="15" ht="44" customHeight="1">
      <ns0:c r="A15" s="4" t="inlineStr">
        <ns0:is>
          <ns0:t>Preço mínimo para margem desejada</ns0:t>
        </ns0:is>
      </ns0:c>
      <ns0:c r="B15" s="13" t="str">
        <ns0:f>IF(COUNT(B11:B13,Premissas!B12)=4,IF(B12+Premissas!B12&lt;1,(B11+B13)/(1-B12-Premissas!B12),"Inviável"),"Sem Capacidade de Apuração")</ns0:f>
        <ns0:v>Sem Capacidade de Apuração</ns0:v>
      </ns0:c>
      <ns0:c r="C15" s="4" t="inlineStr">
        <ns0:is>
          <ns0:t>Custo dividido pela receita restante após taxas e margem-alvo.</ns0:t>
        </ns0:is>
      </ns0:c>
    </ns0:row>
    <ns0:row r="16"/>
    <ns0:row r="17" ht="44" customHeight="1">
      <ns0:c r="A17" s="4" t="inlineStr">
        <ns0:is>
          <ns0:t>Receita mensal ao preço avaliado</ns0:t>
        </ns0:is>
      </ns0:c>
      <ns0:c r="B17" s="13" t="str">
        <ns0:f>IF(AND(COUNT(Premissas!B6,Premissas!B11)=2,Premissas!B6&gt;0,Premissas!B11&gt;0),Premissas!B6*Premissas!B11,"Sem Capacidade de Apuração")</ns0:f>
        <ns0:v>Sem Capacidade de Apuração</ns0:v>
      </ns0:c>
      <ns0:c r="C17" s="4" t="inlineStr">
        <ns0:is>
          <ns0:t>Receita gerencial dos créditos pagos utilizados; não caixa das compras antecipadas.</ns0:t>
        </ns0:is>
      </ns0:c>
    </ns0:row>
    <ns0:row r="18" ht="44" customHeight="1">
      <ns0:c r="A18" s="4" t="inlineStr">
        <ns0:is>
          <ns0:t>Deduções percentuais em BRL</ns0:t>
        </ns0:is>
      </ns0:c>
      <ns0:c r="B18" s="13" t="str">
        <ns0:f>IF(COUNT(B17,B12)=2,B17*B12,"Sem Capacidade de Apuração")</ns0:f>
        <ns0:v>Sem Capacidade de Apuração</ns0:v>
      </ns0:c>
      <ns0:c r="C18" s="4" t="inlineStr">
        <ns0:is>
          <ns0:t>Não inclui tarifa fixa.</ns0:t>
        </ns0:is>
      </ns0:c>
    </ns0:row>
    <ns0:row r="19" ht="44" customHeight="1">
      <ns0:c r="A19" s="4" t="inlineStr">
        <ns0:is>
          <ns0:t>Tarifas fixas de pagamento no mês</ns0:t>
        </ns0:is>
      </ns0:c>
      <ns0:c r="B19" s="13" t="str">
        <ns0:f>IF(COUNT(B13,Premissas!B6)=2,B13*Premissas!B6,"Sem Capacidade de Apuração")</ns0:f>
        <ns0:v>Sem Capacidade de Apuração</ns0:v>
      </ns0:c>
      <ns0:c r="C19" s="4" t="inlineStr">
        <ns0:is>
          <ns0:t>Rateio pelos créditos comprados.</ns0:t>
        </ns0:is>
      </ns0:c>
    </ns0:row>
    <ns0:row r="20" ht="44" customHeight="1">
      <ns0:c r="A20" s="4" t="inlineStr">
        <ns0:is>
          <ns0:t>Custos totais com cobrança e tributos</ns0:t>
        </ns0:is>
      </ns0:c>
      <ns0:c r="B20" s="13" t="str">
        <ns0:f>IF(COUNT(B10,B18:B19)=3,SUM(B10,B18:B19),"Sem Capacidade de Apuração")</ns0:f>
        <ns0:v>Sem Capacidade de Apuração</ns0:v>
      </ns0:c>
      <ns0:c r="C20" s="4" t="inlineStr">
        <ns0:is>
          <ns0:t>Operação + deduções + tarifas fixas.</ns0:t>
        </ns0:is>
      </ns0:c>
    </ns0:row>
    <ns0:row r="21" ht="44" customHeight="1">
      <ns0:c r="A21" s="4" t="inlineStr">
        <ns0:is>
          <ns0:t>Resultado operacional mensal</ns0:t>
        </ns0:is>
      </ns0:c>
      <ns0:c r="B21" s="13" t="str">
        <ns0:f>IF(COUNT(B17,B20)=2,B17-B20,"Sem Capacidade de Apuração")</ns0:f>
        <ns0:v>Sem Capacidade de Apuração</ns0:v>
      </ns0:c>
      <ns0:c r="C21" s="4" t="inlineStr">
        <ns0:is>
          <ns0:t>Receita menos custos informados.</ns0:t>
        </ns0:is>
      </ns0:c>
    </ns0:row>
    <ns0:row r="22" ht="44" customHeight="1">
      <ns0:c r="A22" s="4" t="inlineStr">
        <ns0:is>
          <ns0:t>Margem operacional</ns0:t>
        </ns0:is>
      </ns0:c>
      <ns0:c r="B22" s="15" t="str">
        <ns0:f>IF(COUNT(B17,B21)=2,IF(B17&gt;0,B21/B17,"Inviável"),"Sem Capacidade de Apuração")</ns0:f>
        <ns0:v>Sem Capacidade de Apuração</ns0:v>
      </ns0:c>
      <ns0:c r="C22" s="4" t="inlineStr">
        <ns0:is>
          <ns0:t>Projeção se as entradas forem hipóteses.</ns0:t>
        </ns0:is>
      </ns0:c>
    </ns0:row>
    <ns0:row r="23" ht="44" customHeight="1">
      <ns0:c r="A23" s="4" t="inlineStr">
        <ns0:is>
          <ns0:t>Créditos pagos para atingir equilíbrio</ns0:t>
        </ns0:is>
      </ns0:c>
      <ns0:c r="B23" s="6" t="str">
        <ns0:f>IF(COUNT(B6,B9,B12,B13,Premissas!B7,Premissas!B11)=6,IF(Premissas!B11*(1-B12)-B9-B13&gt;0,ROUNDUP((B6+B9*Premissas!B7)/(Premissas!B11*(1-B12)-B9-B13),0),"Inviável"),"Sem Capacidade de Apuração")</ns0:f>
        <ns0:v>Sem Capacidade de Apuração</ns0:v>
      </ns0:c>
      <ns0:c r="C23" s="4" t="inlineStr">
        <ns0:is>
          <ns0:t>Mantém estrutura, gratuitos e custo unitário constantes. Mudança de capacidade exige recalcular.</ns0:t>
        </ns0:is>
      </ns0:c>
    </ns0:row>
    <ns0:row r="24"/>
    <ns0:row r="25" ht="44" customHeight="1">
      <ns0:c r="A25" s="4" t="inlineStr">
        <ns0:is>
          <ns0:t>Itens de custo ainda pendentes</ns0:t>
        </ns0:is>
      </ns0:c>
      <ns0:c r="B25" s="6">
        <ns0:f>SUM(IA!G18,Fixos!F37,Variaveis!E18)</ns0:f>
        <ns0:v>46.0</ns0:v>
      </ns0:c>
      <ns0:c r="C25" s="4" t="inlineStr">
        <ns0:is>
          <ns0:t>Além destes, premissas comerciais/câmbio também podem faltar.</ns0:t>
        </ns0:is>
      </ns0:c>
    </ns0:row>
  </ns0:sheetData>
  <ns0:mergeCells count="2">
    <ns0:mergeCell ref="A1:C1"/>
    <ns0:mergeCell ref="A2:C2"/>
  </ns0:mergeCells>
  <ns0:pageMargins left="0.75" right="0.75" top="1" bottom="1" header="0.5" footer="0.5"/>
  <ns0:pageSetup orientation="landscape" paperSize="9" fitToHeight="0" fitToWidth="1"/>
  <ns0:headerFooter>
    <ns0:oddHeader/>
    <ns0:oddFooter>&amp;CFROID Psique | &amp;A | &amp;P / &amp;N</ns0:oddFooter>
    <ns0:evenHeader/>
    <ns0:evenFooter/>
    <ns0:firstHeader/>
    <ns0:firstFooter/>
  </ns0:headerFooter>
</ns0:worksheet>
</file>

<file path=xl/worksheets/sheet8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N16"/>
  <ns0:sheetViews>
    <ns0:sheetView showGridLines="0"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18" customWidth="1" min="1" max="1"/>
    <ns0:col width="18" customWidth="1" min="2" max="2"/>
    <ns0:col width="15" customWidth="1" min="3" max="3"/>
    <ns0:col width="22" customWidth="1" min="4" max="4"/>
    <ns0:col width="20" customWidth="1" min="5" max="5"/>
    <ns0:col width="22" customWidth="1" min="6" max="6"/>
    <ns0:col width="23" customWidth="1" min="7" max="7"/>
    <ns0:col width="25" customWidth="1" min="8" max="8"/>
    <ns0:col width="25" customWidth="1" min="9" max="9"/>
    <ns0:col width="33" customWidth="1" min="10" max="10"/>
    <ns0:col width="33" customWidth="1" min="11" max="11"/>
    <ns0:col width="33" customWidth="1" min="12" max="12"/>
    <ns0:col width="24" customWidth="1" min="13" max="13"/>
    <ns0:col width="34" customWidth="1" min="14" max="14"/>
  </ns0:cols>
  <ns0:sheetData>
    <ns0:row r="1" ht="42" customHeight="1">
      <ns0:c r="A1" s="1" t="inlineStr">
        <ns0:is>
          <ns0:t>PACOTES | Referências e valores em avaliação</ns0:t>
        </ns0:is>
      </ns0:c>
    </ns0:row>
    <ns0:row r="2" ht="42" customHeight="1">
      <ns0:c r="A2" s="2" t="inlineStr">
        <ns0:is>
          <ns0:t>Nenhum preço novo é aprovado aqui. MASTER: site e catálogo divergem; não usar valor de teste como decisão comercial.</ns0:t>
        </ns0:is>
      </ns0:c>
    </ns0:row>
    <ns0:row r="3"/>
    <ns0:row r="4"/>
    <ns0:row r="5" ht="32" customHeight="1">
      <ns0:c r="A5" s="3" t="inlineStr">
        <ns0:is>
          <ns0:t>Plano</ns0:t>
        </ns0:is>
      </ns0:c>
      <ns0:c r="B5" s="3" t="inlineStr">
        <ns0:is>
          <ns0:t>Créditos site</ns0:t>
        </ns0:is>
      </ns0:c>
      <ns0:c r="C5" s="3" t="inlineStr">
        <ns0:is>
          <ns0:t>Usuários</ns0:t>
        </ns0:is>
      </ns0:c>
      <ns0:c r="D5" s="3" t="inlineStr">
        <ns0:is>
          <ns0:t>Total site BRL</ns0:t>
        </ns0:is>
      </ns0:c>
      <ns0:c r="E5" s="3" t="inlineStr">
        <ns0:is>
          <ns0:t>Créditos catálogo</ns0:t>
        </ns0:is>
      </ns0:c>
      <ns0:c r="F5" s="3" t="inlineStr">
        <ns0:is>
          <ns0:t>Total catálogo BRL</ns0:t>
        </ns0:is>
      </ns0:c>
      <ns0:c r="G5" s="3" t="inlineStr">
        <ns0:is>
          <ns0:t>Preço/crédito site</ns0:t>
        </ns0:is>
      </ns0:c>
      <ns0:c r="H5" s="3" t="inlineStr">
        <ns0:is>
          <ns0:t>Novo total (entrada)</ns0:t>
        </ns0:is>
      </ns0:c>
      <ns0:c r="I5" s="3" t="inlineStr">
        <ns0:is>
          <ns0:t>Novo preço/crédito</ns0:t>
        </ns0:is>
      </ns0:c>
      <ns0:c r="J5" s="3" t="inlineStr">
        <ns0:is>
          <ns0:t>Custo operacional</ns0:t>
        </ns0:is>
      </ns0:c>
      <ns0:c r="K5" s="3" t="inlineStr">
        <ns0:is>
          <ns0:t>Taxas/tributos</ns0:t>
        </ns0:is>
      </ns0:c>
      <ns0:c r="L5" s="3" t="inlineStr">
        <ns0:is>
          <ns0:t>Resultado pacote</ns0:t>
        </ns0:is>
      </ns0:c>
      <ns0:c r="M5" s="3" t="inlineStr">
        <ns0:is>
          <ns0:t>Margem</ns0:t>
        </ns0:is>
      </ns0:c>
      <ns0:c r="N5" s="3" t="inlineStr">
        <ns0:is>
          <ns0:t>Mínimo p/ margem-alvo</ns0:t>
        </ns0:is>
      </ns0:c>
    </ns0:row>
    <ns0:row r="6" ht="44" customHeight="1">
      <ns0:c r="A6" s="4" t="inlineStr">
        <ns0:is>
          <ns0:t>PRO</ns0:t>
        </ns0:is>
      </ns0:c>
      <ns0:c r="B6" s="4" t="n">
        <ns0:v>10</ns0:v>
      </ns0:c>
      <ns0:c r="C6" s="4" t="n">
        <ns0:v>1</ns0:v>
      </ns0:c>
      <ns0:c r="D6" s="16" t="n">
        <ns0:v>198</ns0:v>
      </ns0:c>
      <ns0:c r="E6" s="4" t="n">
        <ns0:v>10</ns0:v>
      </ns0:c>
      <ns0:c r="F6" s="16" t="n">
        <ns0:v>198</ns0:v>
      </ns0:c>
      <ns0:c r="G6" s="13">
        <ns0:f>D6/B6</ns0:f>
        <ns0:v>19.8</ns0:v>
      </ns0:c>
      <ns0:c r="H6" s="7" t="n"/>
      <ns0:c r="I6" s="13" t="str">
        <ns0:f>IF(COUNT(H6)=1,H6/B6,"Sem Capacidade de Apuração")</ns0:f>
        <ns0:v>Sem Capacidade de Apuração</ns0:v>
      </ns0:c>
      <ns0:c r="J6" s="13" t="str">
        <ns0:f>IF(ISNUMBER(Resultado!B11),Resultado!B11*B6,"Sem Capacidade de Apuração")</ns0:f>
        <ns0:v>Sem Capacidade de Apuração</ns0:v>
      </ns0:c>
      <ns0:c r="K6" s="13" t="str">
        <ns0:f>IF(COUNT(H6,Resultado!B12,Premissas!B19)=3,H6*Resultado!B12+Premissas!B19,"Sem Capacidade de Apuração")</ns0:f>
        <ns0:v>Sem Capacidade de Apuração</ns0:v>
      </ns0:c>
      <ns0:c r="L6" s="13" t="str">
        <ns0:f>IF(COUNT(H6,J6,K6)=3,H6-J6-K6,"Sem Capacidade de Apuração")</ns0:f>
        <ns0:v>Sem Capacidade de Apuração</ns0:v>
      </ns0:c>
      <ns0:c r="M6" s="15" t="str">
        <ns0:f>IF(COUNT(H6,L6)=2,IF(H6&gt;0,L6/H6,"Inviável"),"Sem Capacidade de Apuração")</ns0:f>
        <ns0:v>Sem Capacidade de Apuração</ns0:v>
      </ns0:c>
      <ns0:c r="N6" s="13" t="str">
        <ns0:f>IF(COUNT(J6,Resultado!B12,Premissas!B12,Premissas!B19)=4,IF(Resultado!B12+Premissas!B12&lt;1,(J6+Premissas!B19)/(1-Resultado!B12-Premissas!B12),"Inviável"),"Sem Capacidade de Apuração")</ns0:f>
        <ns0:v>Sem Capacidade de Apuração</ns0:v>
      </ns0:c>
    </ns0:row>
    <ns0:row r="7" ht="44" customHeight="1">
      <ns0:c r="A7" s="4" t="inlineStr">
        <ns0:is>
          <ns0:t>PRO</ns0:t>
        </ns0:is>
      </ns0:c>
      <ns0:c r="B7" s="4" t="n">
        <ns0:v>25</ns0:v>
      </ns0:c>
      <ns0:c r="C7" s="4" t="n">
        <ns0:v>1</ns0:v>
      </ns0:c>
      <ns0:c r="D7" s="16" t="n">
        <ns0:v>470</ns0:v>
      </ns0:c>
      <ns0:c r="E7" s="4" t="n">
        <ns0:v>25</ns0:v>
      </ns0:c>
      <ns0:c r="F7" s="16" t="n">
        <ns0:v>470</ns0:v>
      </ns0:c>
      <ns0:c r="G7" s="13">
        <ns0:f>D7/B7</ns0:f>
        <ns0:v>18.8</ns0:v>
      </ns0:c>
      <ns0:c r="H7" s="7" t="n"/>
      <ns0:c r="I7" s="13" t="str">
        <ns0:f>IF(COUNT(H7)=1,H7/B7,"Sem Capacidade de Apuração")</ns0:f>
        <ns0:v>Sem Capacidade de Apuração</ns0:v>
      </ns0:c>
      <ns0:c r="J7" s="13" t="str">
        <ns0:f>IF(ISNUMBER(Resultado!B11),Resultado!B11*B7,"Sem Capacidade de Apuração")</ns0:f>
        <ns0:v>Sem Capacidade de Apuração</ns0:v>
      </ns0:c>
      <ns0:c r="K7" s="13" t="str">
        <ns0:f>IF(COUNT(H7,Resultado!B12,Premissas!B19)=3,H7*Resultado!B12+Premissas!B19,"Sem Capacidade de Apuração")</ns0:f>
        <ns0:v>Sem Capacidade de Apuração</ns0:v>
      </ns0:c>
      <ns0:c r="L7" s="13" t="str">
        <ns0:f>IF(COUNT(H7,J7,K7)=3,H7-J7-K7,"Sem Capacidade de Apuração")</ns0:f>
        <ns0:v>Sem Capacidade de Apuração</ns0:v>
      </ns0:c>
      <ns0:c r="M7" s="15" t="str">
        <ns0:f>IF(COUNT(H7,L7)=2,IF(H7&gt;0,L7/H7,"Inviável"),"Sem Capacidade de Apuração")</ns0:f>
        <ns0:v>Sem Capacidade de Apuração</ns0:v>
      </ns0:c>
      <ns0:c r="N7" s="13" t="str">
        <ns0:f>IF(COUNT(J7,Resultado!B12,Premissas!B12,Premissas!B19)=4,IF(Resultado!B12+Premissas!B12&lt;1,(J7+Premissas!B19)/(1-Resultado!B12-Premissas!B12),"Inviável"),"Sem Capacidade de Apuração")</ns0:f>
        <ns0:v>Sem Capacidade de Apuração</ns0:v>
      </ns0:c>
    </ns0:row>
    <ns0:row r="8" ht="44" customHeight="1">
      <ns0:c r="A8" s="4" t="inlineStr">
        <ns0:is>
          <ns0:t>PLUS</ns0:t>
        </ns0:is>
      </ns0:c>
      <ns0:c r="B8" s="4" t="n">
        <ns0:v>50</ns0:v>
      </ns0:c>
      <ns0:c r="C8" s="4" t="n">
        <ns0:v>10</ns0:v>
      </ns0:c>
      <ns0:c r="D8" s="16" t="n">
        <ns0:v>1182</ns0:v>
      </ns0:c>
      <ns0:c r="E8" s="4" t="n">
        <ns0:v>50</ns0:v>
      </ns0:c>
      <ns0:c r="F8" s="16" t="n">
        <ns0:v>1182</ns0:v>
      </ns0:c>
      <ns0:c r="G8" s="13">
        <ns0:f>D8/B8</ns0:f>
        <ns0:v>23.64</ns0:v>
      </ns0:c>
      <ns0:c r="H8" s="7" t="n"/>
      <ns0:c r="I8" s="13" t="str">
        <ns0:f>IF(COUNT(H8)=1,H8/B8,"Sem Capacidade de Apuração")</ns0:f>
        <ns0:v>Sem Capacidade de Apuração</ns0:v>
      </ns0:c>
      <ns0:c r="J8" s="13" t="str">
        <ns0:f>IF(ISNUMBER(Resultado!B11),Resultado!B11*B8,"Sem Capacidade de Apuração")</ns0:f>
        <ns0:v>Sem Capacidade de Apuração</ns0:v>
      </ns0:c>
      <ns0:c r="K8" s="13" t="str">
        <ns0:f>IF(COUNT(H8,Resultado!B12,Premissas!B19)=3,H8*Resultado!B12+Premissas!B19,"Sem Capacidade de Apuração")</ns0:f>
        <ns0:v>Sem Capacidade de Apuração</ns0:v>
      </ns0:c>
      <ns0:c r="L8" s="13" t="str">
        <ns0:f>IF(COUNT(H8,J8,K8)=3,H8-J8-K8,"Sem Capacidade de Apuração")</ns0:f>
        <ns0:v>Sem Capacidade de Apuração</ns0:v>
      </ns0:c>
      <ns0:c r="M8" s="15" t="str">
        <ns0:f>IF(COUNT(H8,L8)=2,IF(H8&gt;0,L8/H8,"Inviável"),"Sem Capacidade de Apuração")</ns0:f>
        <ns0:v>Sem Capacidade de Apuração</ns0:v>
      </ns0:c>
      <ns0:c r="N8" s="13" t="str">
        <ns0:f>IF(COUNT(J8,Resultado!B12,Premissas!B12,Premissas!B19)=4,IF(Resultado!B12+Premissas!B12&lt;1,(J8+Premissas!B19)/(1-Resultado!B12-Premissas!B12),"Inviável"),"Sem Capacidade de Apuração")</ns0:f>
        <ns0:v>Sem Capacidade de Apuração</ns0:v>
      </ns0:c>
    </ns0:row>
    <ns0:row r="9" ht="44" customHeight="1">
      <ns0:c r="A9" s="4" t="inlineStr">
        <ns0:is>
          <ns0:t>PLUS</ns0:t>
        </ns0:is>
      </ns0:c>
      <ns0:c r="B9" s="4" t="n">
        <ns0:v>100</ns0:v>
      </ns0:c>
      <ns0:c r="C9" s="4" t="n">
        <ns0:v>10</ns0:v>
      </ns0:c>
      <ns0:c r="D9" s="16" t="n">
        <ns0:v>2202</ns0:v>
      </ns0:c>
      <ns0:c r="E9" s="4" t="n">
        <ns0:v>100</ns0:v>
      </ns0:c>
      <ns0:c r="F9" s="16" t="n">
        <ns0:v>2202</ns0:v>
      </ns0:c>
      <ns0:c r="G9" s="13">
        <ns0:f>D9/B9</ns0:f>
        <ns0:v>22.02</ns0:v>
      </ns0:c>
      <ns0:c r="H9" s="7" t="n"/>
      <ns0:c r="I9" s="13" t="str">
        <ns0:f>IF(COUNT(H9)=1,H9/B9,"Sem Capacidade de Apuração")</ns0:f>
        <ns0:v>Sem Capacidade de Apuração</ns0:v>
      </ns0:c>
      <ns0:c r="J9" s="13" t="str">
        <ns0:f>IF(ISNUMBER(Resultado!B11),Resultado!B11*B9,"Sem Capacidade de Apuração")</ns0:f>
        <ns0:v>Sem Capacidade de Apuração</ns0:v>
      </ns0:c>
      <ns0:c r="K9" s="13" t="str">
        <ns0:f>IF(COUNT(H9,Resultado!B12,Premissas!B19)=3,H9*Resultado!B12+Premissas!B19,"Sem Capacidade de Apuração")</ns0:f>
        <ns0:v>Sem Capacidade de Apuração</ns0:v>
      </ns0:c>
      <ns0:c r="L9" s="13" t="str">
        <ns0:f>IF(COUNT(H9,J9,K9)=3,H9-J9-K9,"Sem Capacidade de Apuração")</ns0:f>
        <ns0:v>Sem Capacidade de Apuração</ns0:v>
      </ns0:c>
      <ns0:c r="M9" s="15" t="str">
        <ns0:f>IF(COUNT(H9,L9)=2,IF(H9&gt;0,L9/H9,"Inviável"),"Sem Capacidade de Apuração")</ns0:f>
        <ns0:v>Sem Capacidade de Apuração</ns0:v>
      </ns0:c>
      <ns0:c r="N9" s="13" t="str">
        <ns0:f>IF(COUNT(J9,Resultado!B12,Premissas!B12,Premissas!B19)=4,IF(Resultado!B12+Premissas!B12&lt;1,(J9+Premissas!B19)/(1-Resultado!B12-Premissas!B12),"Inviável"),"Sem Capacidade de Apuração")</ns0:f>
        <ns0:v>Sem Capacidade de Apuração</ns0:v>
      </ns0:c>
    </ns0:row>
    <ns0:row r="10" ht="44" customHeight="1">
      <ns0:c r="A10" s="4" t="inlineStr">
        <ns0:is>
          <ns0:t>MASTER</ns0:t>
        </ns0:is>
      </ns0:c>
      <ns0:c r="B10" s="4" t="n">
        <ns0:v>200</ns0:v>
      </ns0:c>
      <ns0:c r="C10" s="4" t="n">
        <ns0:v>35</ns0:v>
      </ns0:c>
      <ns0:c r="D10" s="16" t="n">
        <ns0:v>4888</ns0:v>
      </ns0:c>
      <ns0:c r="E10" s="4" t="n">
        <ns0:v>25</ns0:v>
      </ns0:c>
      <ns0:c r="F10" s="16" t="n">
        <ns0:v>20</ns0:v>
      </ns0:c>
      <ns0:c r="G10" s="13">
        <ns0:f>D10/B10</ns0:f>
        <ns0:v>24.44</ns0:v>
      </ns0:c>
      <ns0:c r="H10" s="7" t="n"/>
      <ns0:c r="I10" s="13" t="str">
        <ns0:f>IF(COUNT(H10)=1,H10/B10,"Sem Capacidade de Apuração")</ns0:f>
        <ns0:v>Sem Capacidade de Apuração</ns0:v>
      </ns0:c>
      <ns0:c r="J10" s="13" t="str">
        <ns0:f>IF(ISNUMBER(Resultado!B11),Resultado!B11*B10,"Sem Capacidade de Apuração")</ns0:f>
        <ns0:v>Sem Capacidade de Apuração</ns0:v>
      </ns0:c>
      <ns0:c r="K10" s="13" t="str">
        <ns0:f>IF(COUNT(H10,Resultado!B12,Premissas!B19)=3,H10*Resultado!B12+Premissas!B19,"Sem Capacidade de Apuração")</ns0:f>
        <ns0:v>Sem Capacidade de Apuração</ns0:v>
      </ns0:c>
      <ns0:c r="L10" s="13" t="str">
        <ns0:f>IF(COUNT(H10,J10,K10)=3,H10-J10-K10,"Sem Capacidade de Apuração")</ns0:f>
        <ns0:v>Sem Capacidade de Apuração</ns0:v>
      </ns0:c>
      <ns0:c r="M10" s="15" t="str">
        <ns0:f>IF(COUNT(H10,L10)=2,IF(H10&gt;0,L10/H10,"Inviável"),"Sem Capacidade de Apuração")</ns0:f>
        <ns0:v>Sem Capacidade de Apuração</ns0:v>
      </ns0:c>
      <ns0:c r="N10" s="13" t="str">
        <ns0:f>IF(COUNT(J10,Resultado!B12,Premissas!B12,Premissas!B19)=4,IF(Resultado!B12+Premissas!B12&lt;1,(J10+Premissas!B19)/(1-Resultado!B12-Premissas!B12),"Inviável"),"Sem Capacidade de Apuração")</ns0:f>
        <ns0:v>Sem Capacidade de Apuração</ns0:v>
      </ns0:c>
    </ns0:row>
    <ns0:row r="11"/>
    <ns0:row r="12" ht="44" customHeight="1">
      <ns0:c r="A12" s="4" t="inlineStr">
        <ns0:is>
          <ns0:t>MASTER: site = 200 créditos / R$ 4.888; catálogo consultado = 25 / R$ 20. Divergência registrada, sem adoção como novo preço.</ns0:t>
        </ns0:is>
      </ns0:c>
    </ns0:row>
    <ns0:row r="13"/>
    <ns0:row r="14" ht="44" customHeight="1">
      <ns0:c r="A14" s="4" t="inlineStr">
        <ns0:is>
          <ns0:t>Preço por crédito = total do pacote / quantidade. Não utiliza o campo unitário de referência comercial, que pode divergir dessa divisão.</ns0:t>
        </ns0:is>
      </ns0:c>
    </ns0:row>
    <ns0:row r="15"/>
    <ns0:row r="16" ht="44" customHeight="1">
      <ns0:c r="A16" s="4" t="inlineStr">
        <ns0:is>
          <ns0:t>Fontes: froid-server/subscriptions.py e https://www.froid.com.br/precos.html. Preços de referência, sujeitos à decisão do proprietário.</ns0:t>
        </ns0:is>
      </ns0:c>
    </ns0:row>
  </ns0:sheetData>
  <ns0:mergeCells count="5">
    <ns0:mergeCell ref="A12:N12"/>
    <ns0:mergeCell ref="A16:N16"/>
    <ns0:mergeCell ref="A2:N2"/>
    <ns0:mergeCell ref="A14:N14"/>
    <ns0:mergeCell ref="A1:N1"/>
  </ns0:mergeCells>
  <ns0:dataValidations count="1">
    <ns0:dataValidation sqref="H6:H10" showDropDown="0" showInputMessage="0" showErrorMessage="1" allowBlank="1" errorTitle="Entrada inválida" error="Informe valor válido; deixe vazio se não apurado." type="decimal" errorStyle="stop" operator="between">
      <ns0:formula1>0.01</ns0:formula1>
      <ns0:formula2>1000000000000.0</ns0:formula2>
    </ns0:dataValidation>
  </ns0:dataValidations>
  <ns0:pageMargins left="0.75" right="0.75" top="1" bottom="1" header="0.5" footer="0.5"/>
  <ns0:pageSetup orientation="landscape" paperSize="9" fitToHeight="0" fitToWidth="1"/>
  <ns0:headerFooter>
    <ns0:oddHeader/>
    <ns0:oddFooter>&amp;CFROID Psique | &amp;A | &amp;P / &amp;N</ns0:oddFooter>
    <ns0:evenHeader/>
    <ns0:evenFooter/>
    <ns0:firstHeader/>
    <ns0:firstFooter/>
  </ns0:headerFooter>
</ns0:worksheet>
</file>

<file path=xl/worksheets/sheet9.xml><?xml version="1.0" encoding="utf-8"?>
<ns0:worksheet xmlns:ns0="http://schemas.openxmlformats.org/spreadsheetml/2006/main">
  <ns0:sheetPr>
    <ns0:outlinePr summaryBelow="1" summaryRight="1"/>
    <ns0:pageSetUpPr fitToPage="1"/>
  </ns0:sheetPr>
  <ns0:dimension ref="A1:I10"/>
  <ns0:sheetViews>
    <ns0:sheetView showGridLines="0" workbookViewId="0">
      <ns0:pane xSplit="1" ySplit="5" topLeftCell="B6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2" customWidth="1" min="1" max="1"/>
    <ns0:col width="22" customWidth="1" min="2" max="2"/>
    <ns0:col width="24" customWidth="1" min="3" max="3"/>
    <ns0:col width="27" customWidth="1" min="4" max="4"/>
    <ns0:col width="33" customWidth="1" min="5" max="5"/>
    <ns0:col width="34" customWidth="1" min="6" max="6"/>
    <ns0:col width="34" customWidth="1" min="7" max="7"/>
    <ns0:col width="24" customWidth="1" min="8" max="8"/>
    <ns0:col width="34" customWidth="1" min="9" max="9"/>
  </ns0:cols>
  <ns0:sheetData>
    <ns0:row r="1" ht="42" customHeight="1">
      <ns0:c r="A1" s="1" t="inlineStr">
        <ns0:is>
          <ns0:t>CENÁRIOS | Volume e preço escolhidos por você</ns0:t>
        </ns0:is>
      </ns0:c>
    </ns0:row>
    <ns0:row r="2" ht="42" customHeight="1">
      <ns0:c r="A2" s="2" t="inlineStr">
        <ns0:is>
          <ns0:t>Nenhum volume ou preço foi presumido. Mesmos fixos, variável unitário e taxas do cenário base. Capacidade extra deve ser orçada.</ns0:t>
        </ns0:is>
      </ns0:c>
    </ns0:row>
    <ns0:row r="3"/>
    <ns0:row r="4"/>
    <ns0:row r="5" ht="32" customHeight="1">
      <ns0:c r="A5" s="3" t="inlineStr">
        <ns0:is>
          <ns0:t>Cenário</ns0:t>
        </ns0:is>
      </ns0:c>
      <ns0:c r="B5" s="3" t="inlineStr">
        <ns0:is>
          <ns0:t>Pagos/mês</ns0:t>
        </ns0:is>
      </ns0:c>
      <ns0:c r="C5" s="3" t="inlineStr">
        <ns0:is>
          <ns0:t>Gratuitos/mês</ns0:t>
        </ns0:is>
      </ns0:c>
      <ns0:c r="D5" s="3" t="inlineStr">
        <ns0:is>
          <ns0:t>BRL/crédito</ns0:t>
        </ns0:is>
      </ns0:c>
      <ns0:c r="E5" s="3" t="inlineStr">
        <ns0:is>
          <ns0:t>Receita mensal</ns0:t>
        </ns0:is>
      </ns0:c>
      <ns0:c r="F5" s="3" t="inlineStr">
        <ns0:is>
          <ns0:t>Custo completo</ns0:t>
        </ns0:is>
      </ns0:c>
      <ns0:c r="G5" s="3" t="inlineStr">
        <ns0:is>
          <ns0:t>Resultado mensal</ns0:t>
        </ns0:is>
      </ns0:c>
      <ns0:c r="H5" s="3" t="inlineStr">
        <ns0:is>
          <ns0:t>Margem</ns0:t>
        </ns0:is>
      </ns0:c>
      <ns0:c r="I5" s="3" t="inlineStr">
        <ns0:is>
          <ns0:t>Preço equilíbrio</ns0:t>
        </ns0:is>
      </ns0:c>
    </ns0:row>
    <ns0:row r="6" ht="44" customHeight="1">
      <ns0:c r="A6" s="4" t="inlineStr">
        <ns0:is>
          <ns0:t>Cenário 1</ns0:t>
        </ns0:is>
      </ns0:c>
      <ns0:c r="B6" s="17" t="n"/>
      <ns0:c r="C6" s="17" t="n"/>
      <ns0:c r="D6" s="7" t="n"/>
      <ns0:c r="E6" s="13" t="str">
        <ns0:f>IF(AND(COUNT(B6,D6)=2,B6&gt;0,D6&gt;0),B6*D6,"Sem Capacidade de Apuração")</ns0:f>
        <ns0:v>Sem Capacidade de Apuração</ns0:v>
      </ns0:c>
      <ns0:c r="F6" s="13" t="str">
        <ns0:f>IF(AND(COUNT(B6:D6,E6,Resultado!B6,Resultado!B9,Resultado!B12,Resultado!B13)=8,B6&gt;0,C6&gt;=0),Resultado!B6+Resultado!B9*(B6+C6)+E6*Resultado!B12+Resultado!B13*B6,"Sem Capacidade de Apuração")</ns0:f>
        <ns0:v>Sem Capacidade de Apuração</ns0:v>
      </ns0:c>
      <ns0:c r="G6" s="13" t="str">
        <ns0:f>IF(COUNT(E6:F6)=2,E6-F6,"Sem Capacidade de Apuração")</ns0:f>
        <ns0:v>Sem Capacidade de Apuração</ns0:v>
      </ns0:c>
      <ns0:c r="H6" s="15" t="str">
        <ns0:f>IF(COUNT(E6,G6)=2,IF(E6&gt;0,G6/E6,"Inviável"),"Sem Capacidade de Apuração")</ns0:f>
        <ns0:v>Sem Capacidade de Apuração</ns0:v>
      </ns0:c>
      <ns0:c r="I6" s="13" t="str">
        <ns0:f>IF(AND(COUNT(B6:C6,Resultado!B6,Resultado!B9,Resultado!B12,Resultado!B13)=6,B6&gt;0,C6&gt;=0),IF(Resultado!B12&lt;1,(Resultado!B6/B6+Resultado!B9*(1+C6/B6)+Resultado!B13)/(1-Resultado!B12),"Inviável"),"Sem Capacidade de Apuração")</ns0:f>
        <ns0:v>Sem Capacidade de Apuração</ns0:v>
      </ns0:c>
    </ns0:row>
    <ns0:row r="7" ht="44" customHeight="1">
      <ns0:c r="A7" s="4" t="inlineStr">
        <ns0:is>
          <ns0:t>Cenário 2</ns0:t>
        </ns0:is>
      </ns0:c>
      <ns0:c r="B7" s="17" t="n"/>
      <ns0:c r="C7" s="17" t="n"/>
      <ns0:c r="D7" s="7" t="n"/>
      <ns0:c r="E7" s="13" t="str">
        <ns0:f>IF(AND(COUNT(B7,D7)=2,B7&gt;0,D7&gt;0),B7*D7,"Sem Capacidade de Apuração")</ns0:f>
        <ns0:v>Sem Capacidade de Apuração</ns0:v>
      </ns0:c>
      <ns0:c r="F7" s="13" t="str">
        <ns0:f>IF(AND(COUNT(B7:D7,E7,Resultado!B6,Resultado!B9,Resultado!B12,Resultado!B13)=8,B7&gt;0,C7&gt;=0),Resultado!B6+Resultado!B9*(B7+C7)+E7*Resultado!B12+Resultado!B13*B7,"Sem Capacidade de Apuração")</ns0:f>
        <ns0:v>Sem Capacidade de Apuração</ns0:v>
      </ns0:c>
      <ns0:c r="G7" s="13" t="str">
        <ns0:f>IF(COUNT(E7:F7)=2,E7-F7,"Sem Capacidade de Apuração")</ns0:f>
        <ns0:v>Sem Capacidade de Apuração</ns0:v>
      </ns0:c>
      <ns0:c r="H7" s="15" t="str">
        <ns0:f>IF(COUNT(E7,G7)=2,IF(E7&gt;0,G7/E7,"Inviável"),"Sem Capacidade de Apuração")</ns0:f>
        <ns0:v>Sem Capacidade de Apuração</ns0:v>
      </ns0:c>
      <ns0:c r="I7" s="13" t="str">
        <ns0:f>IF(AND(COUNT(B7:C7,Resultado!B6,Resultado!B9,Resultado!B12,Resultado!B13)=6,B7&gt;0,C7&gt;=0),IF(Resultado!B12&lt;1,(Resultado!B6/B7+Resultado!B9*(1+C7/B7)+Resultado!B13)/(1-Resultado!B12),"Inviável"),"Sem Capacidade de Apuração")</ns0:f>
        <ns0:v>Sem Capacidade de Apuração</ns0:v>
      </ns0:c>
    </ns0:row>
    <ns0:row r="8" ht="44" customHeight="1">
      <ns0:c r="A8" s="4" t="inlineStr">
        <ns0:is>
          <ns0:t>Cenário 3</ns0:t>
        </ns0:is>
      </ns0:c>
      <ns0:c r="B8" s="17" t="n"/>
      <ns0:c r="C8" s="17" t="n"/>
      <ns0:c r="D8" s="7" t="n"/>
      <ns0:c r="E8" s="13" t="str">
        <ns0:f>IF(AND(COUNT(B8,D8)=2,B8&gt;0,D8&gt;0),B8*D8,"Sem Capacidade de Apuração")</ns0:f>
        <ns0:v>Sem Capacidade de Apuração</ns0:v>
      </ns0:c>
      <ns0:c r="F8" s="13" t="str">
        <ns0:f>IF(AND(COUNT(B8:D8,E8,Resultado!B6,Resultado!B9,Resultado!B12,Resultado!B13)=8,B8&gt;0,C8&gt;=0),Resultado!B6+Resultado!B9*(B8+C8)+E8*Resultado!B12+Resultado!B13*B8,"Sem Capacidade de Apuração")</ns0:f>
        <ns0:v>Sem Capacidade de Apuração</ns0:v>
      </ns0:c>
      <ns0:c r="G8" s="13" t="str">
        <ns0:f>IF(COUNT(E8:F8)=2,E8-F8,"Sem Capacidade de Apuração")</ns0:f>
        <ns0:v>Sem Capacidade de Apuração</ns0:v>
      </ns0:c>
      <ns0:c r="H8" s="15" t="str">
        <ns0:f>IF(COUNT(E8,G8)=2,IF(E8&gt;0,G8/E8,"Inviável"),"Sem Capacidade de Apuração")</ns0:f>
        <ns0:v>Sem Capacidade de Apuração</ns0:v>
      </ns0:c>
      <ns0:c r="I8" s="13" t="str">
        <ns0:f>IF(AND(COUNT(B8:C8,Resultado!B6,Resultado!B9,Resultado!B12,Resultado!B13)=6,B8&gt;0,C8&gt;=0),IF(Resultado!B12&lt;1,(Resultado!B6/B8+Resultado!B9*(1+C8/B8)+Resultado!B13)/(1-Resultado!B12),"Inviável"),"Sem Capacidade de Apuração")</ns0:f>
        <ns0:v>Sem Capacidade de Apuração</ns0:v>
      </ns0:c>
    </ns0:row>
    <ns0:row r="9" ht="44" customHeight="1">
      <ns0:c r="A9" s="4" t="inlineStr">
        <ns0:is>
          <ns0:t>Cenário 4</ns0:t>
        </ns0:is>
      </ns0:c>
      <ns0:c r="B9" s="17" t="n"/>
      <ns0:c r="C9" s="17" t="n"/>
      <ns0:c r="D9" s="7" t="n"/>
      <ns0:c r="E9" s="13" t="str">
        <ns0:f>IF(AND(COUNT(B9,D9)=2,B9&gt;0,D9&gt;0),B9*D9,"Sem Capacidade de Apuração")</ns0:f>
        <ns0:v>Sem Capacidade de Apuração</ns0:v>
      </ns0:c>
      <ns0:c r="F9" s="13" t="str">
        <ns0:f>IF(AND(COUNT(B9:D9,E9,Resultado!B6,Resultado!B9,Resultado!B12,Resultado!B13)=8,B9&gt;0,C9&gt;=0),Resultado!B6+Resultado!B9*(B9+C9)+E9*Resultado!B12+Resultado!B13*B9,"Sem Capacidade de Apuração")</ns0:f>
        <ns0:v>Sem Capacidade de Apuração</ns0:v>
      </ns0:c>
      <ns0:c r="G9" s="13" t="str">
        <ns0:f>IF(COUNT(E9:F9)=2,E9-F9,"Sem Capacidade de Apuração")</ns0:f>
        <ns0:v>Sem Capacidade de Apuração</ns0:v>
      </ns0:c>
      <ns0:c r="H9" s="15" t="str">
        <ns0:f>IF(COUNT(E9,G9)=2,IF(E9&gt;0,G9/E9,"Inviável"),"Sem Capacidade de Apuração")</ns0:f>
        <ns0:v>Sem Capacidade de Apuração</ns0:v>
      </ns0:c>
      <ns0:c r="I9" s="13" t="str">
        <ns0:f>IF(AND(COUNT(B9:C9,Resultado!B6,Resultado!B9,Resultado!B12,Resultado!B13)=6,B9&gt;0,C9&gt;=0),IF(Resultado!B12&lt;1,(Resultado!B6/B9+Resultado!B9*(1+C9/B9)+Resultado!B13)/(1-Resultado!B12),"Inviável"),"Sem Capacidade de Apuração")</ns0:f>
        <ns0:v>Sem Capacidade de Apuração</ns0:v>
      </ns0:c>
    </ns0:row>
    <ns0:row r="10" ht="44" customHeight="1">
      <ns0:c r="A10" s="4" t="inlineStr">
        <ns0:is>
          <ns0:t>Cenário 5</ns0:t>
        </ns0:is>
      </ns0:c>
      <ns0:c r="B10" s="17" t="n"/>
      <ns0:c r="C10" s="17" t="n"/>
      <ns0:c r="D10" s="7" t="n"/>
      <ns0:c r="E10" s="13" t="str">
        <ns0:f>IF(AND(COUNT(B10,D10)=2,B10&gt;0,D10&gt;0),B10*D10,"Sem Capacidade de Apuração")</ns0:f>
        <ns0:v>Sem Capacidade de Apuração</ns0:v>
      </ns0:c>
      <ns0:c r="F10" s="13" t="str">
        <ns0:f>IF(AND(COUNT(B10:D10,E10,Resultado!B6,Resultado!B9,Resultado!B12,Resultado!B13)=8,B10&gt;0,C10&gt;=0),Resultado!B6+Resultado!B9*(B10+C10)+E10*Resultado!B12+Resultado!B13*B10,"Sem Capacidade de Apuração")</ns0:f>
        <ns0:v>Sem Capacidade de Apuração</ns0:v>
      </ns0:c>
      <ns0:c r="G10" s="13" t="str">
        <ns0:f>IF(COUNT(E10:F10)=2,E10-F10,"Sem Capacidade de Apuração")</ns0:f>
        <ns0:v>Sem Capacidade de Apuração</ns0:v>
      </ns0:c>
      <ns0:c r="H10" s="15" t="str">
        <ns0:f>IF(COUNT(E10,G10)=2,IF(E10&gt;0,G10/E10,"Inviável"),"Sem Capacidade de Apuração")</ns0:f>
        <ns0:v>Sem Capacidade de Apuração</ns0:v>
      </ns0:c>
      <ns0:c r="I10" s="13" t="str">
        <ns0:f>IF(AND(COUNT(B10:C10,Resultado!B6,Resultado!B9,Resultado!B12,Resultado!B13)=6,B10&gt;0,C10&gt;=0),IF(Resultado!B12&lt;1,(Resultado!B6/B10+Resultado!B9*(1+C10/B10)+Resultado!B13)/(1-Resultado!B12),"Inviável"),"Sem Capacidade de Apuração")</ns0:f>
        <ns0:v>Sem Capacidade de Apuração</ns0:v>
      </ns0:c>
    </ns0:row>
  </ns0:sheetData>
  <ns0:mergeCells count="2">
    <ns0:mergeCell ref="A1:I1"/>
    <ns0:mergeCell ref="A2:I2"/>
  </ns0:mergeCells>
  <ns0:dataValidations count="2">
    <ns0:dataValidation sqref="B6:C10" showDropDown="0" showInputMessage="0" showErrorMessage="1" allowBlank="1" errorTitle="Entrada inválida" error="Informe valor válido; deixe vazio se não apurado." type="decimal" errorStyle="stop" operator="between">
      <ns0:formula1>0</ns0:formula1>
      <ns0:formula2>1000000000000.0</ns0:formula2>
    </ns0:dataValidation>
    <ns0:dataValidation sqref="D6:D10" showDropDown="0" showInputMessage="0" showErrorMessage="1" allowBlank="1" errorTitle="Entrada inválida" error="Informe valor válido; deixe vazio se não apurado." type="decimal" errorStyle="stop" operator="between">
      <ns0:formula1>0.01</ns0:formula1>
      <ns0:formula2>1000000000000.0</ns0:formula2>
    </ns0:dataValidation>
  </ns0:dataValidations>
  <ns0:pageMargins left="0.75" right="0.75" top="1" bottom="1" header="0.5" footer="0.5"/>
  <ns0:pageSetup orientation="landscape" paperSize="9" fitToHeight="0" fitToWidth="1"/>
  <ns0:headerFooter>
    <ns0:oddHeader/>
    <ns0:oddFooter>&amp;CFROID Psique | &amp;A | &amp;P / &amp;N</ns0:oddFooter>
    <ns0:evenHeader/>
    <ns0:evenFooter/>
    <ns0:firstHeader/>
    <ns0:firstFooter/>
  </ns0:headerFooter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2026-09-24T15:51:10Z</dcterms:created>
  <dcterms:modified xmlns:dcterms="http://purl.org/dc/terms/" xmlns:xsi="http://www.w3.org/2001/XMLSchema-instance" xsi:type="dcterms:W3CDTF">2026-09-24T15:51:11Z</dcterms:modified>
</cp:coreProperties>
</file>